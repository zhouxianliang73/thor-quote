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衣柜投影" sheetId="2" r:id="rId1"/>
    <sheet name="厨柜" sheetId="3" r:id="rId2"/>
    <sheet name="Sheet1" sheetId="4" r:id="rId3"/>
  </sheets>
  <definedNames>
    <definedName name="_xlnm.Print_Area" localSheetId="0">衣柜投影!$A$1:$G$31</definedName>
    <definedName name="_xlnm.Print_Area" localSheetId="1">厨柜!$A$1:$J$136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libin</author>
    <author>Administrator</author>
  </authors>
  <commentList>
    <comment ref="H2" authorId="0">
      <text>
        <r>
          <rPr>
            <b/>
            <sz val="16"/>
            <rFont val="宋体"/>
            <charset val="134"/>
          </rPr>
          <t>304不锈钢布纹板柜体</t>
        </r>
        <r>
          <rPr>
            <sz val="9"/>
            <rFont val="宋体"/>
            <charset val="134"/>
          </rPr>
          <t xml:space="preserve">
</t>
        </r>
        <r>
          <rPr>
            <b/>
            <sz val="16"/>
            <rFont val="宋体"/>
            <charset val="134"/>
          </rPr>
          <t>N工艺（0.6）标配</t>
        </r>
      </text>
    </comment>
    <comment ref="I2" authorId="1">
      <text>
        <r>
          <rPr>
            <b/>
            <sz val="14"/>
            <rFont val="宋体"/>
            <charset val="134"/>
          </rPr>
          <t>N工艺门板展开计算价格；门板18mm厚</t>
        </r>
      </text>
    </comment>
  </commentList>
</comments>
</file>

<file path=xl/sharedStrings.xml><?xml version="1.0" encoding="utf-8"?>
<sst xmlns="http://schemas.openxmlformats.org/spreadsheetml/2006/main" count="670" uniqueCount="115">
  <si>
    <t>索而2024年衣柜零售指导价</t>
  </si>
  <si>
    <t>衣柜投影单价表-H1 铂金柜体</t>
  </si>
  <si>
    <t>序号</t>
  </si>
  <si>
    <t>名称</t>
  </si>
  <si>
    <t>单位</t>
  </si>
  <si>
    <t>零售价</t>
  </si>
  <si>
    <t>备注</t>
  </si>
  <si>
    <t>大影-臻纹系列</t>
  </si>
  <si>
    <t>元/平方米</t>
  </si>
  <si>
    <t>柜体默认做双面同色工艺，</t>
  </si>
  <si>
    <t>大语-玉润系列-304</t>
  </si>
  <si>
    <t>大观-金属系列-304</t>
  </si>
  <si>
    <t>大彩-绚丽系列-304</t>
  </si>
  <si>
    <t>大悦-韵纹系列-304</t>
  </si>
  <si>
    <t>大千-云纹系列</t>
  </si>
  <si>
    <t>大逸-极光系列</t>
  </si>
  <si>
    <t>衣柜投影单价表-H1 云纹柜体</t>
  </si>
  <si>
    <t xml:space="preserve">柜体默认做双面同色工艺，云纹柜体花色（云纹8号 CW08-Y \ 云纹9号 CW09-Y）
</t>
  </si>
  <si>
    <t>衣柜投影单价表-H3 304喷粉柜体</t>
  </si>
  <si>
    <t>1、柜体默认做双面同色工艺，304喷涂柜体花色（卷云白 CK01F\卡其灰CK02F\月光灰 CK03F）
2、304柜体需要做其他系列喷涂时按门板同系列花色计价（臻纹系列做柜体时工艺同韵纹系列，基材不做3D质感纹理，喷涂柜体不做亮光）；</t>
  </si>
  <si>
    <t>说明：
1、以上报价按柜体投影面积计算，仅作为参考指导价，实际下单按照柜体展开面积计价，投影面积不足0.1 ㎡按0.1 ㎡计算，此价格包含柜体和门板，门板扣板颜色同柜体色。
2、价格包含基础五金（铰链、挂码、调节脚和层板托等），包含统配五金（连接螺丝、预埋件），不含功能五金（抽屉、衣柜收纳件等）。
3、柜体为上下柜结构，上下柜总高度≤2830mm，深度≤560mm范围内不计非标，超过此范围内按单价乘以1.2的非标系数；
4、上述价格柜体标配一块层板，无竖板，每加收一块层板/竖板，按单块板件面积乘以对应展开单价，需加收费用；</t>
  </si>
  <si>
    <t>系列</t>
  </si>
  <si>
    <t>规格型号</t>
  </si>
  <si>
    <t>材质</t>
  </si>
  <si>
    <t>门板工艺</t>
  </si>
  <si>
    <t>单价/元</t>
  </si>
  <si>
    <t>见光板/平方</t>
  </si>
  <si>
    <t>大千云纹系列</t>
  </si>
  <si>
    <t>柜体+门板</t>
  </si>
  <si>
    <t>地柜（680*570）</t>
  </si>
  <si>
    <t>柜体304不锈钢雨滴板</t>
  </si>
  <si>
    <t>百隆集成阻尼铰链</t>
  </si>
  <si>
    <t>3D同步手感木纹</t>
  </si>
  <si>
    <t>米</t>
  </si>
  <si>
    <t>地柜（720*570）</t>
  </si>
  <si>
    <t>吊柜（700*370）</t>
  </si>
  <si>
    <t>吊柜（800*370）</t>
  </si>
  <si>
    <t>吊柜（900*370）</t>
  </si>
  <si>
    <t>大悦韵纹系列</t>
  </si>
  <si>
    <t>静电纳米微粒子喷涂+2D木纹热转印</t>
  </si>
  <si>
    <t>大影臻纹系列</t>
  </si>
  <si>
    <t>4D肌理手感仿真木纹</t>
  </si>
  <si>
    <t>大彩绚丽系列</t>
  </si>
  <si>
    <t>静电纳米微粒子喷涂</t>
  </si>
  <si>
    <t>大观金属系列</t>
  </si>
  <si>
    <t>静电金属纳米微粒子喷涂</t>
  </si>
  <si>
    <t>大语玉润系列</t>
  </si>
  <si>
    <t>静电肤感耐污纳米喷涂</t>
  </si>
  <si>
    <t>大传质影系列</t>
  </si>
  <si>
    <t>原色质感耐刮晶钢面</t>
  </si>
  <si>
    <t>铂金系列</t>
  </si>
  <si>
    <t>离子微喷</t>
  </si>
  <si>
    <t>铂金光学膜</t>
  </si>
  <si>
    <t>光学膜</t>
  </si>
  <si>
    <t>云纹系列</t>
  </si>
  <si>
    <t>离子微喷+同步转印木纹</t>
  </si>
  <si>
    <t>韵纹系列</t>
  </si>
  <si>
    <t>离子微喷+纳米热转印木纹</t>
  </si>
  <si>
    <t>臻纹系列</t>
  </si>
  <si>
    <t>离子微喷+3D生态仿真木纹</t>
  </si>
  <si>
    <t>绚丽系列</t>
  </si>
  <si>
    <t>金属系列</t>
  </si>
  <si>
    <t>离子微喷+细微金属粒子</t>
  </si>
  <si>
    <t>玉润系列</t>
  </si>
  <si>
    <t>离子微喷+云柔肤感粉</t>
  </si>
  <si>
    <t>质影/原色系列</t>
  </si>
  <si>
    <t>离子微喷+不锈钢钢砂</t>
  </si>
  <si>
    <t>台面系列</t>
  </si>
  <si>
    <t>不锈钢台面（宽度600MM内）</t>
  </si>
  <si>
    <t>厚度</t>
  </si>
  <si>
    <t>600宽单价（元/米）</t>
  </si>
  <si>
    <t>工艺</t>
  </si>
  <si>
    <t>材料限宽</t>
  </si>
  <si>
    <t>琉晶-丝纹GY01</t>
  </si>
  <si>
    <t>拉丝</t>
  </si>
  <si>
    <t>12mm</t>
  </si>
  <si>
    <t>复合双层</t>
  </si>
  <si>
    <t>1050宽/3500长</t>
  </si>
  <si>
    <t>19mm</t>
  </si>
  <si>
    <t>39mm</t>
  </si>
  <si>
    <t>琉晶-绘纹GY02</t>
  </si>
  <si>
    <t>乱纹</t>
  </si>
  <si>
    <t>晶灵-蚀刻GY03</t>
  </si>
  <si>
    <t>蚀刻耐刮花</t>
  </si>
  <si>
    <t>晶灵-雾砂GY04</t>
  </si>
  <si>
    <t>砂面耐刮花</t>
  </si>
  <si>
    <t>晶灵-珠星GY05</t>
  </si>
  <si>
    <t>珠光耐刮花</t>
  </si>
  <si>
    <t>晶灵-雾瓷GY08</t>
  </si>
  <si>
    <t>冰瓷耐刮花</t>
  </si>
  <si>
    <t>品灵-柳叶GY09</t>
  </si>
  <si>
    <t>柳条纹</t>
  </si>
  <si>
    <t>晶灵-印迹GY10</t>
  </si>
  <si>
    <t>交叉纹</t>
  </si>
  <si>
    <t>晶砾-银砂GY11</t>
  </si>
  <si>
    <t>火山纹</t>
  </si>
  <si>
    <t>304#喷砂纹防刮伤实心</t>
  </si>
  <si>
    <t>实心钢板</t>
  </si>
  <si>
    <t>5台面厚度</t>
  </si>
  <si>
    <t>实心单层钢板</t>
  </si>
  <si>
    <t>1400宽/5600长</t>
  </si>
  <si>
    <t>6台面厚度</t>
  </si>
  <si>
    <t>8台面厚度</t>
  </si>
  <si>
    <t>10不锈钢厚度</t>
  </si>
  <si>
    <t>琉晶-丝纹GY01/琉晶-绘纹GY02/晶灵-蚀刻GY03/晶灵-雾砂GY04/晶灵-珠星GY05/晶灵-雾瓷GY08/晶灵-柳叶GY09/晶灵-印迹GY10/</t>
  </si>
  <si>
    <t>实心多层钢板</t>
  </si>
  <si>
    <t>门店折扣比例</t>
  </si>
  <si>
    <t>8.5折</t>
  </si>
  <si>
    <t>一般销售活动价</t>
  </si>
  <si>
    <t>8折</t>
  </si>
  <si>
    <t>304雨滴板柜体+绚丽门板：304小雨滴柜体1470*3.5，绚丽门板2219，计7364</t>
  </si>
  <si>
    <t>店长折扣</t>
  </si>
  <si>
    <t>7.5折</t>
  </si>
  <si>
    <t>老板折扣</t>
  </si>
  <si>
    <t>7折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</si>
</sst>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3">
    <font>
      <sz val="11"/>
      <color theme="1"/>
      <name val="Tahoma"/>
      <charset val="134"/>
    </font>
    <font>
      <sz val="16"/>
      <color theme="1"/>
      <name val="宋体"/>
      <charset val="134"/>
    </font>
    <font>
      <sz val="14"/>
      <color theme="1"/>
      <name val="Tahoma"/>
      <charset val="134"/>
    </font>
    <font>
      <b/>
      <sz val="22"/>
      <color theme="1"/>
      <name val="宋体"/>
      <charset val="134"/>
    </font>
    <font>
      <sz val="12"/>
      <color theme="1"/>
      <name val="微软雅黑"/>
      <charset val="134"/>
    </font>
    <font>
      <sz val="22"/>
      <color theme="1"/>
      <name val="Tahoma"/>
      <charset val="134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16"/>
      <color theme="1"/>
      <name val="宋体"/>
      <charset val="134"/>
    </font>
    <font>
      <sz val="15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name val="宋体"/>
      <charset val="134"/>
    </font>
    <font>
      <sz val="9"/>
      <name val="宋体"/>
      <charset val="134"/>
    </font>
    <font>
      <b/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52705</xdr:rowOff>
    </xdr:from>
    <xdr:to>
      <xdr:col>1</xdr:col>
      <xdr:colOff>1198245</xdr:colOff>
      <xdr:row>0</xdr:row>
      <xdr:rowOff>532765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6675" y="52705"/>
          <a:ext cx="1817370" cy="4800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96</xdr:row>
      <xdr:rowOff>64135</xdr:rowOff>
    </xdr:from>
    <xdr:to>
      <xdr:col>0</xdr:col>
      <xdr:colOff>1553210</xdr:colOff>
      <xdr:row>96</xdr:row>
      <xdr:rowOff>504190</xdr:rowOff>
    </xdr:to>
    <xdr:pic>
      <xdr:nvPicPr>
        <xdr:cNvPr id="2" name="图片 3" descr="4fbecce3e86b8e7e18c8fc72d2841f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6238835"/>
          <a:ext cx="1553210" cy="440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52705</xdr:rowOff>
    </xdr:from>
    <xdr:to>
      <xdr:col>0</xdr:col>
      <xdr:colOff>1817370</xdr:colOff>
      <xdr:row>0</xdr:row>
      <xdr:rowOff>532765</xdr:rowOff>
    </xdr:to>
    <xdr:pic>
      <xdr:nvPicPr>
        <xdr:cNvPr id="3" name="图片 2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0" y="52705"/>
          <a:ext cx="1817370" cy="4800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2"/>
  <sheetViews>
    <sheetView view="pageBreakPreview" zoomScaleNormal="85" workbookViewId="0">
      <selection activeCell="G4" sqref="G4:G10"/>
    </sheetView>
  </sheetViews>
  <sheetFormatPr defaultColWidth="9" defaultRowHeight="18" outlineLevelCol="6"/>
  <cols>
    <col min="1" max="1" width="9" style="9"/>
    <col min="2" max="2" width="26.875" style="9" customWidth="1"/>
    <col min="3" max="3" width="14.8833333333333" customWidth="1"/>
    <col min="4" max="4" width="22.9416666666667" style="59" customWidth="1"/>
    <col min="5" max="5" width="15.875" customWidth="1"/>
    <col min="6" max="6" width="13.0833333333333" customWidth="1"/>
    <col min="7" max="7" width="34.25" style="9" customWidth="1"/>
  </cols>
  <sheetData>
    <row r="1" ht="45" customHeight="1" spans="1:7">
      <c r="A1" s="10" t="s">
        <v>0</v>
      </c>
      <c r="B1" s="10"/>
      <c r="C1" s="10"/>
      <c r="D1" s="10"/>
      <c r="E1" s="10"/>
      <c r="F1" s="10"/>
      <c r="G1" s="10"/>
    </row>
    <row r="2" ht="25" customHeight="1" spans="1:7">
      <c r="A2" s="60" t="s">
        <v>1</v>
      </c>
      <c r="B2" s="61"/>
      <c r="C2" s="61"/>
      <c r="D2" s="61"/>
      <c r="E2" s="61"/>
      <c r="F2" s="61"/>
      <c r="G2" s="62"/>
    </row>
    <row r="3" ht="25" customHeight="1" spans="1:7">
      <c r="A3" s="2" t="s">
        <v>2</v>
      </c>
      <c r="B3" s="2" t="s">
        <v>3</v>
      </c>
      <c r="C3" s="11" t="s">
        <v>4</v>
      </c>
      <c r="D3" s="12"/>
      <c r="E3" s="11" t="s">
        <v>5</v>
      </c>
      <c r="F3" s="12"/>
      <c r="G3" s="2" t="s">
        <v>6</v>
      </c>
    </row>
    <row r="4" ht="25" customHeight="1" spans="1:7">
      <c r="A4" s="1">
        <v>1</v>
      </c>
      <c r="B4" s="4" t="s">
        <v>7</v>
      </c>
      <c r="C4" s="63" t="s">
        <v>8</v>
      </c>
      <c r="D4" s="64"/>
      <c r="E4" s="63">
        <v>7110</v>
      </c>
      <c r="F4" s="64"/>
      <c r="G4" s="65" t="s">
        <v>9</v>
      </c>
    </row>
    <row r="5" ht="25" customHeight="1" spans="1:7">
      <c r="A5" s="1">
        <v>2</v>
      </c>
      <c r="B5" s="4" t="s">
        <v>10</v>
      </c>
      <c r="C5" s="63" t="s">
        <v>8</v>
      </c>
      <c r="D5" s="64"/>
      <c r="E5" s="63">
        <v>7163</v>
      </c>
      <c r="F5" s="64"/>
      <c r="G5" s="5"/>
    </row>
    <row r="6" customFormat="1" ht="25" customHeight="1" spans="1:7">
      <c r="A6" s="1">
        <v>3</v>
      </c>
      <c r="B6" s="4" t="s">
        <v>11</v>
      </c>
      <c r="C6" s="63" t="s">
        <v>8</v>
      </c>
      <c r="D6" s="64"/>
      <c r="E6" s="63">
        <v>6414</v>
      </c>
      <c r="F6" s="64"/>
      <c r="G6" s="5"/>
    </row>
    <row r="7" customFormat="1" ht="25" customHeight="1" spans="1:7">
      <c r="A7" s="1">
        <v>4</v>
      </c>
      <c r="B7" s="4" t="s">
        <v>12</v>
      </c>
      <c r="C7" s="63" t="s">
        <v>8</v>
      </c>
      <c r="D7" s="64"/>
      <c r="E7" s="63">
        <v>5941</v>
      </c>
      <c r="F7" s="64"/>
      <c r="G7" s="5"/>
    </row>
    <row r="8" customFormat="1" ht="25" customHeight="1" spans="1:7">
      <c r="A8" s="1">
        <v>5</v>
      </c>
      <c r="B8" s="4" t="s">
        <v>13</v>
      </c>
      <c r="C8" s="63" t="s">
        <v>8</v>
      </c>
      <c r="D8" s="64"/>
      <c r="E8" s="63">
        <v>6153</v>
      </c>
      <c r="F8" s="64"/>
      <c r="G8" s="5"/>
    </row>
    <row r="9" customFormat="1" ht="25" customHeight="1" spans="1:7">
      <c r="A9" s="1">
        <v>6</v>
      </c>
      <c r="B9" s="4" t="s">
        <v>14</v>
      </c>
      <c r="C9" s="63" t="s">
        <v>8</v>
      </c>
      <c r="D9" s="64"/>
      <c r="E9" s="63">
        <v>5435</v>
      </c>
      <c r="F9" s="64"/>
      <c r="G9" s="5"/>
    </row>
    <row r="10" customFormat="1" ht="25" customHeight="1" spans="1:7">
      <c r="A10" s="1">
        <v>7</v>
      </c>
      <c r="B10" s="4" t="s">
        <v>15</v>
      </c>
      <c r="C10" s="63" t="s">
        <v>8</v>
      </c>
      <c r="D10" s="64"/>
      <c r="E10" s="63">
        <v>5153</v>
      </c>
      <c r="F10" s="64"/>
      <c r="G10" s="5"/>
    </row>
    <row r="11" customFormat="1" ht="25" customHeight="1" spans="1:7">
      <c r="A11" s="63"/>
      <c r="B11" s="66"/>
      <c r="C11" s="66"/>
      <c r="D11" s="66"/>
      <c r="E11" s="66"/>
      <c r="F11" s="66"/>
      <c r="G11" s="64"/>
    </row>
    <row r="12" customFormat="1" ht="25" customHeight="1" spans="1:7">
      <c r="A12" s="60" t="s">
        <v>16</v>
      </c>
      <c r="B12" s="61"/>
      <c r="C12" s="61"/>
      <c r="D12" s="61"/>
      <c r="E12" s="61"/>
      <c r="F12" s="61"/>
      <c r="G12" s="62"/>
    </row>
    <row r="13" customFormat="1" ht="25" customHeight="1" spans="1:7">
      <c r="A13" s="2" t="s">
        <v>2</v>
      </c>
      <c r="B13" s="2" t="s">
        <v>3</v>
      </c>
      <c r="C13" s="11" t="s">
        <v>4</v>
      </c>
      <c r="D13" s="12"/>
      <c r="E13" s="11" t="s">
        <v>5</v>
      </c>
      <c r="F13" s="12"/>
      <c r="G13" s="2" t="s">
        <v>6</v>
      </c>
    </row>
    <row r="14" customFormat="1" ht="25" customHeight="1" spans="1:7">
      <c r="A14" s="1">
        <v>1</v>
      </c>
      <c r="B14" s="4" t="s">
        <v>7</v>
      </c>
      <c r="C14" s="63" t="s">
        <v>8</v>
      </c>
      <c r="D14" s="64"/>
      <c r="E14" s="63">
        <v>7407</v>
      </c>
      <c r="F14" s="64"/>
      <c r="G14" s="23" t="s">
        <v>17</v>
      </c>
    </row>
    <row r="15" customFormat="1" ht="25" customHeight="1" spans="1:7">
      <c r="A15" s="1">
        <v>2</v>
      </c>
      <c r="B15" s="4" t="s">
        <v>10</v>
      </c>
      <c r="C15" s="63" t="s">
        <v>8</v>
      </c>
      <c r="D15" s="64"/>
      <c r="E15" s="63">
        <v>7461</v>
      </c>
      <c r="F15" s="64"/>
      <c r="G15" s="27"/>
    </row>
    <row r="16" customFormat="1" ht="25" customHeight="1" spans="1:7">
      <c r="A16" s="1">
        <v>3</v>
      </c>
      <c r="B16" s="4" t="s">
        <v>11</v>
      </c>
      <c r="C16" s="63" t="s">
        <v>8</v>
      </c>
      <c r="D16" s="64"/>
      <c r="E16" s="63">
        <v>6711</v>
      </c>
      <c r="F16" s="64"/>
      <c r="G16" s="27"/>
    </row>
    <row r="17" customFormat="1" ht="25" customHeight="1" spans="1:7">
      <c r="A17" s="1">
        <v>4</v>
      </c>
      <c r="B17" s="4" t="s">
        <v>12</v>
      </c>
      <c r="C17" s="63" t="s">
        <v>8</v>
      </c>
      <c r="D17" s="64"/>
      <c r="E17" s="63">
        <v>6238</v>
      </c>
      <c r="F17" s="64"/>
      <c r="G17" s="27"/>
    </row>
    <row r="18" customFormat="1" ht="25" customHeight="1" spans="1:7">
      <c r="A18" s="1">
        <v>5</v>
      </c>
      <c r="B18" s="4" t="s">
        <v>13</v>
      </c>
      <c r="C18" s="63" t="s">
        <v>8</v>
      </c>
      <c r="D18" s="64"/>
      <c r="E18" s="63">
        <v>6450</v>
      </c>
      <c r="F18" s="64"/>
      <c r="G18" s="27"/>
    </row>
    <row r="19" customFormat="1" ht="25" customHeight="1" spans="1:7">
      <c r="A19" s="1">
        <v>6</v>
      </c>
      <c r="B19" s="4" t="s">
        <v>14</v>
      </c>
      <c r="C19" s="63" t="s">
        <v>8</v>
      </c>
      <c r="D19" s="64"/>
      <c r="E19" s="63">
        <v>5733</v>
      </c>
      <c r="F19" s="64"/>
      <c r="G19" s="27"/>
    </row>
    <row r="20" customFormat="1" ht="25" customHeight="1" spans="1:7">
      <c r="A20" s="1">
        <v>7</v>
      </c>
      <c r="B20" s="4" t="s">
        <v>15</v>
      </c>
      <c r="C20" s="63" t="s">
        <v>8</v>
      </c>
      <c r="D20" s="64"/>
      <c r="E20" s="63">
        <v>5450</v>
      </c>
      <c r="F20" s="64"/>
      <c r="G20" s="27"/>
    </row>
    <row r="21" customFormat="1" ht="25" customHeight="1" spans="1:7">
      <c r="A21" s="63"/>
      <c r="B21" s="66"/>
      <c r="C21" s="66"/>
      <c r="D21" s="66"/>
      <c r="E21" s="66"/>
      <c r="F21" s="66"/>
      <c r="G21" s="64"/>
    </row>
    <row r="22" s="58" customFormat="1" ht="25" customHeight="1" spans="1:7">
      <c r="A22" s="60" t="s">
        <v>18</v>
      </c>
      <c r="B22" s="61"/>
      <c r="C22" s="61"/>
      <c r="D22" s="61"/>
      <c r="E22" s="61"/>
      <c r="F22" s="61"/>
      <c r="G22" s="62"/>
    </row>
    <row r="23" customFormat="1" ht="25" customHeight="1" spans="1:7">
      <c r="A23" s="2" t="s">
        <v>2</v>
      </c>
      <c r="B23" s="2" t="s">
        <v>3</v>
      </c>
      <c r="C23" s="11" t="s">
        <v>4</v>
      </c>
      <c r="D23" s="12"/>
      <c r="E23" s="11" t="s">
        <v>5</v>
      </c>
      <c r="F23" s="12"/>
      <c r="G23" s="2" t="s">
        <v>6</v>
      </c>
    </row>
    <row r="24" customFormat="1" ht="25" customHeight="1" spans="1:7">
      <c r="A24" s="1">
        <v>1</v>
      </c>
      <c r="B24" s="4" t="s">
        <v>7</v>
      </c>
      <c r="C24" s="63" t="s">
        <v>8</v>
      </c>
      <c r="D24" s="64"/>
      <c r="E24" s="63">
        <v>9889</v>
      </c>
      <c r="F24" s="64"/>
      <c r="G24" s="67" t="s">
        <v>19</v>
      </c>
    </row>
    <row r="25" customFormat="1" ht="25" customHeight="1" spans="1:7">
      <c r="A25" s="1">
        <v>2</v>
      </c>
      <c r="B25" s="4" t="s">
        <v>10</v>
      </c>
      <c r="C25" s="63" t="s">
        <v>8</v>
      </c>
      <c r="D25" s="64"/>
      <c r="E25" s="63">
        <v>9942</v>
      </c>
      <c r="F25" s="64"/>
      <c r="G25" s="68"/>
    </row>
    <row r="26" customFormat="1" ht="25" customHeight="1" spans="1:7">
      <c r="A26" s="1">
        <v>3</v>
      </c>
      <c r="B26" s="4" t="s">
        <v>11</v>
      </c>
      <c r="C26" s="63" t="s">
        <v>8</v>
      </c>
      <c r="D26" s="64"/>
      <c r="E26" s="63">
        <v>9193</v>
      </c>
      <c r="F26" s="64"/>
      <c r="G26" s="68"/>
    </row>
    <row r="27" customFormat="1" ht="25" customHeight="1" spans="1:7">
      <c r="A27" s="1">
        <v>4</v>
      </c>
      <c r="B27" s="4" t="s">
        <v>12</v>
      </c>
      <c r="C27" s="63" t="s">
        <v>8</v>
      </c>
      <c r="D27" s="64"/>
      <c r="E27" s="63">
        <v>8720</v>
      </c>
      <c r="F27" s="64"/>
      <c r="G27" s="68"/>
    </row>
    <row r="28" customFormat="1" ht="25" customHeight="1" spans="1:7">
      <c r="A28" s="1">
        <v>5</v>
      </c>
      <c r="B28" s="4" t="s">
        <v>13</v>
      </c>
      <c r="C28" s="63" t="s">
        <v>8</v>
      </c>
      <c r="D28" s="64"/>
      <c r="E28" s="63">
        <v>8932</v>
      </c>
      <c r="F28" s="64"/>
      <c r="G28" s="68"/>
    </row>
    <row r="29" customFormat="1" ht="25" customHeight="1" spans="1:7">
      <c r="A29" s="1">
        <v>6</v>
      </c>
      <c r="B29" s="4" t="s">
        <v>14</v>
      </c>
      <c r="C29" s="63" t="s">
        <v>8</v>
      </c>
      <c r="D29" s="64"/>
      <c r="E29" s="63">
        <v>8214</v>
      </c>
      <c r="F29" s="64"/>
      <c r="G29" s="68"/>
    </row>
    <row r="30" ht="25" customHeight="1" spans="1:7">
      <c r="A30" s="1">
        <v>7</v>
      </c>
      <c r="B30" s="4" t="s">
        <v>15</v>
      </c>
      <c r="C30" s="63" t="s">
        <v>8</v>
      </c>
      <c r="D30" s="64"/>
      <c r="E30" s="63">
        <v>7932</v>
      </c>
      <c r="F30" s="64"/>
      <c r="G30" s="68"/>
    </row>
    <row r="31" ht="192" customHeight="1" spans="1:7">
      <c r="A31" s="40" t="s">
        <v>20</v>
      </c>
      <c r="B31" s="40"/>
      <c r="C31" s="40"/>
      <c r="D31" s="40"/>
      <c r="E31" s="40"/>
      <c r="F31" s="40"/>
      <c r="G31" s="40"/>
    </row>
    <row r="32" ht="40" customHeight="1" spans="1:7">
      <c r="A32" s="40"/>
      <c r="B32" s="40"/>
      <c r="C32" s="40"/>
      <c r="D32" s="40"/>
      <c r="E32" s="40"/>
      <c r="F32" s="40"/>
      <c r="G32" s="40"/>
    </row>
    <row r="33" ht="40" customHeight="1" spans="1:7">
      <c r="A33" s="40"/>
      <c r="B33" s="40"/>
      <c r="C33" s="40"/>
      <c r="D33" s="40"/>
      <c r="E33" s="40"/>
      <c r="F33" s="40"/>
      <c r="G33" s="40"/>
    </row>
    <row r="34" ht="21" customHeight="1" spans="1:7">
      <c r="A34" s="40"/>
      <c r="B34" s="40"/>
      <c r="C34" s="40"/>
      <c r="D34" s="40"/>
      <c r="E34" s="40"/>
      <c r="F34" s="40"/>
      <c r="G34" s="40"/>
    </row>
    <row r="35" ht="21" customHeight="1" spans="1:7">
      <c r="A35" s="40"/>
      <c r="B35" s="40"/>
      <c r="C35" s="40"/>
      <c r="D35" s="40"/>
      <c r="E35" s="40"/>
      <c r="F35" s="40"/>
      <c r="G35" s="40"/>
    </row>
    <row r="36" ht="21" customHeight="1" spans="1:7">
      <c r="A36" s="40"/>
      <c r="B36" s="40"/>
      <c r="C36" s="40"/>
      <c r="D36" s="40"/>
      <c r="E36" s="40"/>
      <c r="F36" s="40"/>
      <c r="G36" s="40"/>
    </row>
    <row r="37" ht="21" customHeight="1" spans="1:7">
      <c r="A37" s="40"/>
      <c r="B37" s="40"/>
      <c r="C37" s="40"/>
      <c r="D37" s="40"/>
      <c r="E37" s="40"/>
      <c r="F37" s="40"/>
      <c r="G37" s="40"/>
    </row>
    <row r="38" ht="21" customHeight="1" spans="1:7">
      <c r="A38" s="40"/>
      <c r="B38" s="40"/>
      <c r="C38" s="40"/>
      <c r="D38" s="40"/>
      <c r="E38" s="40"/>
      <c r="F38" s="40"/>
      <c r="G38" s="40"/>
    </row>
    <row r="39" ht="40" customHeight="1" spans="1:7">
      <c r="A39" s="40"/>
      <c r="B39" s="40"/>
      <c r="C39" s="40"/>
      <c r="D39" s="40"/>
      <c r="E39" s="40"/>
      <c r="F39" s="40"/>
      <c r="G39" s="40"/>
    </row>
    <row r="40" ht="21" customHeight="1" spans="1:7">
      <c r="A40" s="40"/>
      <c r="B40" s="40"/>
      <c r="C40" s="40"/>
      <c r="D40" s="40"/>
      <c r="E40" s="40"/>
      <c r="F40" s="40"/>
      <c r="G40" s="40"/>
    </row>
    <row r="41" ht="21" customHeight="1" spans="1:7">
      <c r="A41" s="40"/>
      <c r="B41" s="40"/>
      <c r="C41" s="40"/>
      <c r="D41" s="40"/>
      <c r="E41" s="40"/>
      <c r="F41" s="40"/>
      <c r="G41" s="40"/>
    </row>
    <row r="42" ht="21" customHeight="1" spans="1:7">
      <c r="A42" s="40"/>
      <c r="B42" s="40"/>
      <c r="C42" s="40"/>
      <c r="D42" s="40"/>
      <c r="E42" s="40"/>
      <c r="F42" s="40"/>
      <c r="G42" s="40"/>
    </row>
  </sheetData>
  <mergeCells count="69">
    <mergeCell ref="A1:G1"/>
    <mergeCell ref="A2:G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A11:G11"/>
    <mergeCell ref="A12:G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A21:G21"/>
    <mergeCell ref="A22:G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G4:G10"/>
    <mergeCell ref="G14:G20"/>
    <mergeCell ref="G24:G30"/>
  </mergeCells>
  <printOptions horizontalCentered="1"/>
  <pageMargins left="0.196527777777778" right="0.196527777777778" top="0.196527777777778" bottom="0.196527777777778" header="0.5" footer="0.5"/>
  <pageSetup paperSize="9" scale="68" fitToHeight="0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36"/>
  <sheetViews>
    <sheetView tabSelected="1" view="pageBreakPreview" zoomScale="71" zoomScaleNormal="85" topLeftCell="A15" workbookViewId="0">
      <selection activeCell="D82" sqref="D82"/>
    </sheetView>
  </sheetViews>
  <sheetFormatPr defaultColWidth="9" defaultRowHeight="18"/>
  <cols>
    <col min="1" max="1" width="25.8833333333333" style="6" customWidth="1"/>
    <col min="2" max="2" width="14.8833333333333" style="7" customWidth="1"/>
    <col min="3" max="3" width="24.8166666666667" style="8" customWidth="1"/>
    <col min="4" max="4" width="27.4666666666667" style="7" customWidth="1"/>
    <col min="5" max="5" width="28.3416666666667" style="7" customWidth="1"/>
    <col min="6" max="6" width="48.2333333333333" style="8" customWidth="1"/>
    <col min="7" max="7" width="8.375" style="8" customWidth="1"/>
    <col min="8" max="8" width="14.375" style="7" customWidth="1"/>
    <col min="9" max="9" width="15.7333333333333" style="6" customWidth="1"/>
    <col min="10" max="10" width="29.1083333333333" style="9" customWidth="1"/>
  </cols>
  <sheetData>
    <row r="1" ht="45" customHeight="1" spans="1:10">
      <c r="A1" s="10"/>
      <c r="B1" s="10"/>
      <c r="C1" s="10"/>
      <c r="D1" s="10"/>
      <c r="E1" s="10"/>
      <c r="F1" s="10"/>
      <c r="G1" s="10"/>
      <c r="H1" s="10"/>
      <c r="I1" s="10"/>
      <c r="J1" s="10"/>
    </row>
    <row r="2" ht="20" customHeight="1" spans="1:10">
      <c r="A2" s="2" t="s">
        <v>21</v>
      </c>
      <c r="B2" s="11" t="s">
        <v>22</v>
      </c>
      <c r="C2" s="12"/>
      <c r="D2" s="11" t="s">
        <v>23</v>
      </c>
      <c r="E2" s="12"/>
      <c r="F2" s="2" t="s">
        <v>24</v>
      </c>
      <c r="G2" s="2" t="s">
        <v>4</v>
      </c>
      <c r="H2" s="2" t="s">
        <v>25</v>
      </c>
      <c r="I2" s="1" t="s">
        <v>26</v>
      </c>
      <c r="J2" s="2" t="s">
        <v>6</v>
      </c>
    </row>
    <row r="3" ht="20" customHeight="1" spans="1:10">
      <c r="A3" s="1" t="s">
        <v>27</v>
      </c>
      <c r="B3" s="2" t="s">
        <v>28</v>
      </c>
      <c r="C3" s="2" t="s">
        <v>29</v>
      </c>
      <c r="D3" s="1" t="s">
        <v>30</v>
      </c>
      <c r="E3" s="1" t="s">
        <v>31</v>
      </c>
      <c r="F3" s="1" t="s">
        <v>32</v>
      </c>
      <c r="G3" s="2" t="s">
        <v>33</v>
      </c>
      <c r="H3" s="13">
        <v>5626.95</v>
      </c>
      <c r="I3" s="2">
        <v>1598</v>
      </c>
      <c r="J3" s="4"/>
    </row>
    <row r="4" ht="20" customHeight="1" spans="1:10">
      <c r="A4" s="1" t="s">
        <v>27</v>
      </c>
      <c r="B4" s="2" t="s">
        <v>28</v>
      </c>
      <c r="C4" s="2" t="s">
        <v>34</v>
      </c>
      <c r="D4" s="1" t="s">
        <v>30</v>
      </c>
      <c r="E4" s="1" t="s">
        <v>31</v>
      </c>
      <c r="F4" s="1" t="s">
        <v>32</v>
      </c>
      <c r="G4" s="2" t="s">
        <v>33</v>
      </c>
      <c r="H4" s="13">
        <f>H3*1.05</f>
        <v>5908.2975</v>
      </c>
      <c r="I4" s="2">
        <v>1598</v>
      </c>
      <c r="J4" s="4"/>
    </row>
    <row r="5" customFormat="1" ht="20" customHeight="1" spans="1:10">
      <c r="A5" s="1" t="s">
        <v>27</v>
      </c>
      <c r="B5" s="2" t="s">
        <v>28</v>
      </c>
      <c r="C5" s="2" t="s">
        <v>35</v>
      </c>
      <c r="D5" s="1" t="s">
        <v>30</v>
      </c>
      <c r="E5" s="1" t="s">
        <v>31</v>
      </c>
      <c r="F5" s="1" t="s">
        <v>32</v>
      </c>
      <c r="G5" s="2" t="s">
        <v>33</v>
      </c>
      <c r="H5" s="13">
        <v>5077</v>
      </c>
      <c r="I5" s="2">
        <v>1598</v>
      </c>
      <c r="J5" s="4"/>
    </row>
    <row r="6" customFormat="1" ht="20" customHeight="1" spans="1:10">
      <c r="A6" s="1" t="s">
        <v>27</v>
      </c>
      <c r="B6" s="2" t="s">
        <v>28</v>
      </c>
      <c r="C6" s="2" t="s">
        <v>36</v>
      </c>
      <c r="D6" s="1" t="s">
        <v>30</v>
      </c>
      <c r="E6" s="1" t="s">
        <v>31</v>
      </c>
      <c r="F6" s="1" t="s">
        <v>32</v>
      </c>
      <c r="G6" s="2" t="s">
        <v>33</v>
      </c>
      <c r="H6" s="13">
        <f>H5*1.05</f>
        <v>5330.85</v>
      </c>
      <c r="I6" s="2">
        <v>1598</v>
      </c>
      <c r="J6" s="4"/>
    </row>
    <row r="7" customFormat="1" ht="20" customHeight="1" spans="1:10">
      <c r="A7" s="1" t="s">
        <v>27</v>
      </c>
      <c r="B7" s="2" t="s">
        <v>28</v>
      </c>
      <c r="C7" s="2" t="s">
        <v>37</v>
      </c>
      <c r="D7" s="1" t="s">
        <v>30</v>
      </c>
      <c r="E7" s="1" t="s">
        <v>31</v>
      </c>
      <c r="F7" s="1" t="s">
        <v>32</v>
      </c>
      <c r="G7" s="2" t="s">
        <v>33</v>
      </c>
      <c r="H7" s="13">
        <f>H6*1.05</f>
        <v>5597.3925</v>
      </c>
      <c r="I7" s="2">
        <v>1598</v>
      </c>
      <c r="J7" s="4"/>
    </row>
    <row r="8" customFormat="1" ht="20" customHeight="1" spans="1:10">
      <c r="A8" s="1" t="s">
        <v>38</v>
      </c>
      <c r="B8" s="2" t="s">
        <v>28</v>
      </c>
      <c r="C8" s="2" t="s">
        <v>29</v>
      </c>
      <c r="D8" s="1" t="s">
        <v>30</v>
      </c>
      <c r="E8" s="1" t="s">
        <v>31</v>
      </c>
      <c r="F8" s="14" t="s">
        <v>39</v>
      </c>
      <c r="G8" s="2" t="s">
        <v>33</v>
      </c>
      <c r="H8" s="13">
        <v>6071.1</v>
      </c>
      <c r="I8" s="2">
        <v>2226</v>
      </c>
      <c r="J8" s="1"/>
    </row>
    <row r="9" customFormat="1" ht="20" customHeight="1" spans="1:10">
      <c r="A9" s="1" t="s">
        <v>38</v>
      </c>
      <c r="B9" s="2" t="s">
        <v>28</v>
      </c>
      <c r="C9" s="2" t="s">
        <v>34</v>
      </c>
      <c r="D9" s="1" t="s">
        <v>30</v>
      </c>
      <c r="E9" s="1" t="s">
        <v>31</v>
      </c>
      <c r="F9" s="14" t="s">
        <v>39</v>
      </c>
      <c r="G9" s="2" t="s">
        <v>33</v>
      </c>
      <c r="H9" s="13">
        <f>H8*1.05</f>
        <v>6374.655</v>
      </c>
      <c r="I9" s="2">
        <v>2226</v>
      </c>
      <c r="J9" s="1"/>
    </row>
    <row r="10" customFormat="1" ht="20" customHeight="1" spans="1:10">
      <c r="A10" s="1" t="s">
        <v>38</v>
      </c>
      <c r="B10" s="2" t="s">
        <v>28</v>
      </c>
      <c r="C10" s="2" t="s">
        <v>35</v>
      </c>
      <c r="D10" s="1" t="s">
        <v>30</v>
      </c>
      <c r="E10" s="1" t="s">
        <v>31</v>
      </c>
      <c r="F10" s="14" t="s">
        <v>39</v>
      </c>
      <c r="G10" s="2" t="s">
        <v>33</v>
      </c>
      <c r="H10" s="13">
        <v>5534.55</v>
      </c>
      <c r="I10" s="2">
        <v>2226</v>
      </c>
      <c r="J10" s="1"/>
    </row>
    <row r="11" customFormat="1" ht="20" customHeight="1" spans="1:10">
      <c r="A11" s="1" t="s">
        <v>38</v>
      </c>
      <c r="B11" s="2" t="s">
        <v>28</v>
      </c>
      <c r="C11" s="2" t="s">
        <v>36</v>
      </c>
      <c r="D11" s="1" t="s">
        <v>30</v>
      </c>
      <c r="E11" s="1" t="s">
        <v>31</v>
      </c>
      <c r="F11" s="14" t="s">
        <v>39</v>
      </c>
      <c r="G11" s="2" t="s">
        <v>33</v>
      </c>
      <c r="H11" s="13">
        <f>H10*1.05</f>
        <v>5811.2775</v>
      </c>
      <c r="I11" s="2">
        <v>2226</v>
      </c>
      <c r="J11" s="1"/>
    </row>
    <row r="12" customFormat="1" ht="20" customHeight="1" spans="1:10">
      <c r="A12" s="1" t="s">
        <v>38</v>
      </c>
      <c r="B12" s="2" t="s">
        <v>28</v>
      </c>
      <c r="C12" s="2" t="s">
        <v>37</v>
      </c>
      <c r="D12" s="1" t="s">
        <v>30</v>
      </c>
      <c r="E12" s="1" t="s">
        <v>31</v>
      </c>
      <c r="F12" s="14" t="s">
        <v>39</v>
      </c>
      <c r="G12" s="2" t="s">
        <v>33</v>
      </c>
      <c r="H12" s="13">
        <f>H11*1.05</f>
        <v>6101.841375</v>
      </c>
      <c r="I12" s="2">
        <v>2226</v>
      </c>
      <c r="J12" s="1"/>
    </row>
    <row r="13" customFormat="1" ht="20" customHeight="1" spans="1:10">
      <c r="A13" s="2" t="s">
        <v>40</v>
      </c>
      <c r="B13" s="2" t="s">
        <v>28</v>
      </c>
      <c r="C13" s="2" t="s">
        <v>29</v>
      </c>
      <c r="D13" s="1" t="s">
        <v>30</v>
      </c>
      <c r="E13" s="1" t="s">
        <v>31</v>
      </c>
      <c r="F13" s="14" t="s">
        <v>41</v>
      </c>
      <c r="G13" s="2" t="s">
        <v>33</v>
      </c>
      <c r="H13" s="13">
        <v>6752.55</v>
      </c>
      <c r="I13" s="2">
        <v>3222</v>
      </c>
      <c r="J13" s="1"/>
    </row>
    <row r="14" customFormat="1" ht="20" customHeight="1" spans="1:10">
      <c r="A14" s="2" t="s">
        <v>40</v>
      </c>
      <c r="B14" s="2" t="s">
        <v>28</v>
      </c>
      <c r="C14" s="2" t="s">
        <v>34</v>
      </c>
      <c r="D14" s="1" t="s">
        <v>30</v>
      </c>
      <c r="E14" s="1" t="s">
        <v>31</v>
      </c>
      <c r="F14" s="14" t="s">
        <v>41</v>
      </c>
      <c r="G14" s="2" t="s">
        <v>33</v>
      </c>
      <c r="H14" s="13">
        <f>H13*1.05</f>
        <v>7090.1775</v>
      </c>
      <c r="I14" s="2">
        <v>3222</v>
      </c>
      <c r="J14" s="1"/>
    </row>
    <row r="15" customFormat="1" ht="20" customHeight="1" spans="1:10">
      <c r="A15" s="2" t="s">
        <v>40</v>
      </c>
      <c r="B15" s="2" t="s">
        <v>28</v>
      </c>
      <c r="C15" s="2" t="s">
        <v>35</v>
      </c>
      <c r="D15" s="1" t="s">
        <v>30</v>
      </c>
      <c r="E15" s="1" t="s">
        <v>31</v>
      </c>
      <c r="F15" s="14" t="s">
        <v>41</v>
      </c>
      <c r="G15" s="2" t="s">
        <v>33</v>
      </c>
      <c r="H15" s="13">
        <v>6198.15</v>
      </c>
      <c r="I15" s="2">
        <v>3222</v>
      </c>
      <c r="J15" s="1"/>
    </row>
    <row r="16" customFormat="1" ht="20" customHeight="1" spans="1:10">
      <c r="A16" s="2" t="s">
        <v>40</v>
      </c>
      <c r="B16" s="2" t="s">
        <v>28</v>
      </c>
      <c r="C16" s="2" t="s">
        <v>36</v>
      </c>
      <c r="D16" s="1" t="s">
        <v>30</v>
      </c>
      <c r="E16" s="1" t="s">
        <v>31</v>
      </c>
      <c r="F16" s="14" t="s">
        <v>41</v>
      </c>
      <c r="G16" s="2" t="s">
        <v>33</v>
      </c>
      <c r="H16" s="13">
        <f>H15*1.05</f>
        <v>6508.0575</v>
      </c>
      <c r="I16" s="2">
        <v>3222</v>
      </c>
      <c r="J16" s="1"/>
    </row>
    <row r="17" customFormat="1" ht="20" customHeight="1" spans="1:10">
      <c r="A17" s="2" t="s">
        <v>40</v>
      </c>
      <c r="B17" s="2" t="s">
        <v>28</v>
      </c>
      <c r="C17" s="2" t="s">
        <v>37</v>
      </c>
      <c r="D17" s="1" t="s">
        <v>30</v>
      </c>
      <c r="E17" s="1" t="s">
        <v>31</v>
      </c>
      <c r="F17" s="14" t="s">
        <v>41</v>
      </c>
      <c r="G17" s="2" t="s">
        <v>33</v>
      </c>
      <c r="H17" s="13">
        <f>H16*1.05</f>
        <v>6833.460375</v>
      </c>
      <c r="I17" s="2">
        <v>3222</v>
      </c>
      <c r="J17" s="1"/>
    </row>
    <row r="18" customFormat="1" ht="20" customHeight="1" spans="1:10">
      <c r="A18" s="15" t="s">
        <v>42</v>
      </c>
      <c r="B18" s="16" t="s">
        <v>28</v>
      </c>
      <c r="C18" s="16" t="s">
        <v>29</v>
      </c>
      <c r="D18" s="17" t="s">
        <v>30</v>
      </c>
      <c r="E18" s="17" t="s">
        <v>31</v>
      </c>
      <c r="F18" s="17" t="s">
        <v>43</v>
      </c>
      <c r="G18" s="15" t="s">
        <v>33</v>
      </c>
      <c r="H18" s="18">
        <v>5946.15</v>
      </c>
      <c r="I18" s="16">
        <v>2050</v>
      </c>
      <c r="J18" s="1"/>
    </row>
    <row r="19" customFormat="1" ht="20" customHeight="1" spans="1:10">
      <c r="A19" s="19" t="s">
        <v>42</v>
      </c>
      <c r="B19" s="16" t="s">
        <v>28</v>
      </c>
      <c r="C19" s="16" t="s">
        <v>34</v>
      </c>
      <c r="D19" s="20" t="s">
        <v>30</v>
      </c>
      <c r="E19" s="20" t="s">
        <v>31</v>
      </c>
      <c r="F19" s="20" t="s">
        <v>43</v>
      </c>
      <c r="G19" s="19" t="s">
        <v>33</v>
      </c>
      <c r="H19" s="18">
        <f>H18*1.05</f>
        <v>6243.4575</v>
      </c>
      <c r="I19" s="16">
        <v>2050</v>
      </c>
      <c r="J19" s="1"/>
    </row>
    <row r="20" customFormat="1" ht="20" customHeight="1" spans="1:10">
      <c r="A20" s="19" t="s">
        <v>42</v>
      </c>
      <c r="B20" s="16" t="s">
        <v>28</v>
      </c>
      <c r="C20" s="16" t="s">
        <v>35</v>
      </c>
      <c r="D20" s="20" t="s">
        <v>30</v>
      </c>
      <c r="E20" s="20" t="s">
        <v>31</v>
      </c>
      <c r="F20" s="20" t="s">
        <v>43</v>
      </c>
      <c r="G20" s="19" t="s">
        <v>33</v>
      </c>
      <c r="H20" s="18">
        <v>5405.4</v>
      </c>
      <c r="I20" s="16">
        <v>2050</v>
      </c>
      <c r="J20" s="1"/>
    </row>
    <row r="21" customFormat="1" ht="20" customHeight="1" spans="1:10">
      <c r="A21" s="19" t="s">
        <v>42</v>
      </c>
      <c r="B21" s="16" t="s">
        <v>28</v>
      </c>
      <c r="C21" s="16" t="s">
        <v>36</v>
      </c>
      <c r="D21" s="20" t="s">
        <v>30</v>
      </c>
      <c r="E21" s="20" t="s">
        <v>31</v>
      </c>
      <c r="F21" s="20" t="s">
        <v>43</v>
      </c>
      <c r="G21" s="19" t="s">
        <v>33</v>
      </c>
      <c r="H21" s="18">
        <f>H20*1.05</f>
        <v>5675.67</v>
      </c>
      <c r="I21" s="16">
        <v>2050</v>
      </c>
      <c r="J21" s="1"/>
    </row>
    <row r="22" customFormat="1" ht="20" customHeight="1" spans="1:10">
      <c r="A22" s="21" t="s">
        <v>42</v>
      </c>
      <c r="B22" s="16" t="s">
        <v>28</v>
      </c>
      <c r="C22" s="16" t="s">
        <v>37</v>
      </c>
      <c r="D22" s="22" t="s">
        <v>30</v>
      </c>
      <c r="E22" s="22" t="s">
        <v>31</v>
      </c>
      <c r="F22" s="22" t="s">
        <v>43</v>
      </c>
      <c r="G22" s="21" t="s">
        <v>33</v>
      </c>
      <c r="H22" s="18">
        <f>H21*1.05</f>
        <v>5959.4535</v>
      </c>
      <c r="I22" s="16">
        <v>2050</v>
      </c>
      <c r="J22" s="1"/>
    </row>
    <row r="23" ht="20" customHeight="1" spans="1:10">
      <c r="A23" s="1" t="s">
        <v>44</v>
      </c>
      <c r="B23" s="2" t="s">
        <v>28</v>
      </c>
      <c r="C23" s="2" t="s">
        <v>29</v>
      </c>
      <c r="D23" s="23" t="s">
        <v>30</v>
      </c>
      <c r="E23" s="23" t="s">
        <v>31</v>
      </c>
      <c r="F23" s="23" t="s">
        <v>45</v>
      </c>
      <c r="G23" s="24" t="s">
        <v>33</v>
      </c>
      <c r="H23" s="13">
        <v>6240.15</v>
      </c>
      <c r="I23" s="25">
        <v>2467</v>
      </c>
      <c r="J23" s="26"/>
    </row>
    <row r="24" ht="20" customHeight="1" spans="1:10">
      <c r="A24" s="1" t="s">
        <v>44</v>
      </c>
      <c r="B24" s="2" t="s">
        <v>28</v>
      </c>
      <c r="C24" s="2" t="s">
        <v>34</v>
      </c>
      <c r="D24" s="27" t="s">
        <v>30</v>
      </c>
      <c r="E24" s="27" t="s">
        <v>31</v>
      </c>
      <c r="F24" s="27" t="s">
        <v>45</v>
      </c>
      <c r="G24" s="28" t="s">
        <v>33</v>
      </c>
      <c r="H24" s="13">
        <f>H23*1.05</f>
        <v>6552.1575</v>
      </c>
      <c r="I24" s="25">
        <v>2467</v>
      </c>
      <c r="J24" s="26"/>
    </row>
    <row r="25" ht="20" customHeight="1" spans="1:10">
      <c r="A25" s="1" t="s">
        <v>44</v>
      </c>
      <c r="B25" s="2" t="s">
        <v>28</v>
      </c>
      <c r="C25" s="2" t="s">
        <v>35</v>
      </c>
      <c r="D25" s="27" t="s">
        <v>30</v>
      </c>
      <c r="E25" s="27" t="s">
        <v>31</v>
      </c>
      <c r="F25" s="27" t="s">
        <v>45</v>
      </c>
      <c r="G25" s="28" t="s">
        <v>33</v>
      </c>
      <c r="H25" s="13">
        <v>5715.15</v>
      </c>
      <c r="I25" s="25">
        <v>2467</v>
      </c>
      <c r="J25" s="26"/>
    </row>
    <row r="26" ht="20" customHeight="1" spans="1:10">
      <c r="A26" s="1" t="s">
        <v>44</v>
      </c>
      <c r="B26" s="2" t="s">
        <v>28</v>
      </c>
      <c r="C26" s="2" t="s">
        <v>36</v>
      </c>
      <c r="D26" s="27" t="s">
        <v>30</v>
      </c>
      <c r="E26" s="27" t="s">
        <v>31</v>
      </c>
      <c r="F26" s="27" t="s">
        <v>45</v>
      </c>
      <c r="G26" s="28" t="s">
        <v>33</v>
      </c>
      <c r="H26" s="13">
        <f>H25*1.05</f>
        <v>6000.9075</v>
      </c>
      <c r="I26" s="25">
        <v>2467</v>
      </c>
      <c r="J26" s="26"/>
    </row>
    <row r="27" ht="20" customHeight="1" spans="1:10">
      <c r="A27" s="1" t="s">
        <v>44</v>
      </c>
      <c r="B27" s="2" t="s">
        <v>28</v>
      </c>
      <c r="C27" s="2" t="s">
        <v>37</v>
      </c>
      <c r="D27" s="29" t="s">
        <v>30</v>
      </c>
      <c r="E27" s="29" t="s">
        <v>31</v>
      </c>
      <c r="F27" s="29" t="s">
        <v>45</v>
      </c>
      <c r="G27" s="30" t="s">
        <v>33</v>
      </c>
      <c r="H27" s="13">
        <f>H26*1.05</f>
        <v>6300.952875</v>
      </c>
      <c r="I27" s="25">
        <v>2467</v>
      </c>
      <c r="J27" s="26"/>
    </row>
    <row r="28" ht="20" customHeight="1" spans="1:10">
      <c r="A28" s="1" t="s">
        <v>46</v>
      </c>
      <c r="B28" s="2" t="s">
        <v>28</v>
      </c>
      <c r="C28" s="2" t="s">
        <v>29</v>
      </c>
      <c r="D28" s="23" t="s">
        <v>30</v>
      </c>
      <c r="E28" s="23" t="s">
        <v>31</v>
      </c>
      <c r="F28" s="23" t="s">
        <v>47</v>
      </c>
      <c r="G28" s="24" t="s">
        <v>33</v>
      </c>
      <c r="H28" s="13">
        <v>6874.35</v>
      </c>
      <c r="I28" s="25">
        <v>3365</v>
      </c>
      <c r="J28" s="26"/>
    </row>
    <row r="29" ht="20" customHeight="1" spans="1:10">
      <c r="A29" s="1" t="s">
        <v>46</v>
      </c>
      <c r="B29" s="2" t="s">
        <v>28</v>
      </c>
      <c r="C29" s="2" t="s">
        <v>34</v>
      </c>
      <c r="D29" s="27" t="s">
        <v>30</v>
      </c>
      <c r="E29" s="27" t="s">
        <v>31</v>
      </c>
      <c r="F29" s="27" t="s">
        <v>47</v>
      </c>
      <c r="G29" s="28" t="s">
        <v>33</v>
      </c>
      <c r="H29" s="13">
        <f>H28*1.05</f>
        <v>7218.0675</v>
      </c>
      <c r="I29" s="25">
        <v>3365</v>
      </c>
      <c r="J29" s="26"/>
    </row>
    <row r="30" ht="20" customHeight="1" spans="1:10">
      <c r="A30" s="1" t="s">
        <v>46</v>
      </c>
      <c r="B30" s="2" t="s">
        <v>28</v>
      </c>
      <c r="C30" s="2" t="s">
        <v>35</v>
      </c>
      <c r="D30" s="27" t="s">
        <v>30</v>
      </c>
      <c r="E30" s="27" t="s">
        <v>31</v>
      </c>
      <c r="F30" s="27" t="s">
        <v>47</v>
      </c>
      <c r="G30" s="28" t="s">
        <v>33</v>
      </c>
      <c r="H30" s="13">
        <v>6360.9</v>
      </c>
      <c r="I30" s="25">
        <v>3365</v>
      </c>
      <c r="J30" s="26"/>
    </row>
    <row r="31" ht="20" customHeight="1" spans="1:10">
      <c r="A31" s="1" t="s">
        <v>46</v>
      </c>
      <c r="B31" s="2" t="s">
        <v>28</v>
      </c>
      <c r="C31" s="2" t="s">
        <v>36</v>
      </c>
      <c r="D31" s="27" t="s">
        <v>30</v>
      </c>
      <c r="E31" s="27" t="s">
        <v>31</v>
      </c>
      <c r="F31" s="27" t="s">
        <v>47</v>
      </c>
      <c r="G31" s="28" t="s">
        <v>33</v>
      </c>
      <c r="H31" s="13">
        <f>H30*1.05</f>
        <v>6678.945</v>
      </c>
      <c r="I31" s="25">
        <v>3365</v>
      </c>
      <c r="J31" s="26"/>
    </row>
    <row r="32" ht="20" customHeight="1" spans="1:10">
      <c r="A32" s="1" t="s">
        <v>46</v>
      </c>
      <c r="B32" s="2" t="s">
        <v>28</v>
      </c>
      <c r="C32" s="2" t="s">
        <v>37</v>
      </c>
      <c r="D32" s="29" t="s">
        <v>30</v>
      </c>
      <c r="E32" s="29" t="s">
        <v>31</v>
      </c>
      <c r="F32" s="29" t="s">
        <v>47</v>
      </c>
      <c r="G32" s="30" t="s">
        <v>33</v>
      </c>
      <c r="H32" s="13">
        <f>H31*1.05</f>
        <v>7012.89225</v>
      </c>
      <c r="I32" s="25">
        <v>3365</v>
      </c>
      <c r="J32" s="26"/>
    </row>
    <row r="33" customFormat="1" ht="20" customHeight="1" spans="1:10">
      <c r="A33" s="27" t="s">
        <v>48</v>
      </c>
      <c r="B33" s="2" t="s">
        <v>28</v>
      </c>
      <c r="C33" s="2" t="s">
        <v>29</v>
      </c>
      <c r="D33" s="23" t="s">
        <v>30</v>
      </c>
      <c r="E33" s="23" t="s">
        <v>31</v>
      </c>
      <c r="F33" s="23" t="s">
        <v>49</v>
      </c>
      <c r="G33" s="24" t="s">
        <v>33</v>
      </c>
      <c r="H33" s="13">
        <v>8144.85</v>
      </c>
      <c r="I33" s="2">
        <v>5193</v>
      </c>
      <c r="J33" s="1"/>
    </row>
    <row r="34" customFormat="1" ht="20" customHeight="1" spans="1:10">
      <c r="A34" s="27" t="s">
        <v>48</v>
      </c>
      <c r="B34" s="2" t="s">
        <v>28</v>
      </c>
      <c r="C34" s="2" t="s">
        <v>34</v>
      </c>
      <c r="D34" s="27" t="s">
        <v>30</v>
      </c>
      <c r="E34" s="27" t="s">
        <v>31</v>
      </c>
      <c r="F34" s="27" t="s">
        <v>49</v>
      </c>
      <c r="G34" s="28" t="s">
        <v>33</v>
      </c>
      <c r="H34" s="13">
        <f>H33*1.05</f>
        <v>8552.0925</v>
      </c>
      <c r="I34" s="2">
        <v>5193</v>
      </c>
      <c r="J34" s="1"/>
    </row>
    <row r="35" customFormat="1" ht="20" customHeight="1" spans="1:10">
      <c r="A35" s="27" t="s">
        <v>48</v>
      </c>
      <c r="B35" s="2" t="s">
        <v>28</v>
      </c>
      <c r="C35" s="2" t="s">
        <v>35</v>
      </c>
      <c r="D35" s="27" t="s">
        <v>30</v>
      </c>
      <c r="E35" s="27" t="s">
        <v>31</v>
      </c>
      <c r="F35" s="27" t="s">
        <v>49</v>
      </c>
      <c r="G35" s="28" t="s">
        <v>33</v>
      </c>
      <c r="H35" s="13">
        <v>7672.35</v>
      </c>
      <c r="I35" s="2">
        <v>5193</v>
      </c>
      <c r="J35" s="1"/>
    </row>
    <row r="36" customFormat="1" ht="20" customHeight="1" spans="1:10">
      <c r="A36" s="27" t="s">
        <v>48</v>
      </c>
      <c r="B36" s="2" t="s">
        <v>28</v>
      </c>
      <c r="C36" s="2" t="s">
        <v>36</v>
      </c>
      <c r="D36" s="27" t="s">
        <v>30</v>
      </c>
      <c r="E36" s="27" t="s">
        <v>31</v>
      </c>
      <c r="F36" s="27" t="s">
        <v>49</v>
      </c>
      <c r="G36" s="28" t="s">
        <v>33</v>
      </c>
      <c r="H36" s="13">
        <f>H35*1.05</f>
        <v>8055.9675</v>
      </c>
      <c r="I36" s="2">
        <v>5193</v>
      </c>
      <c r="J36" s="1"/>
    </row>
    <row r="37" customFormat="1" ht="20" customHeight="1" spans="1:10">
      <c r="A37" s="29" t="s">
        <v>48</v>
      </c>
      <c r="B37" s="2" t="s">
        <v>28</v>
      </c>
      <c r="C37" s="2" t="s">
        <v>37</v>
      </c>
      <c r="D37" s="29" t="s">
        <v>30</v>
      </c>
      <c r="E37" s="29" t="s">
        <v>31</v>
      </c>
      <c r="F37" s="29" t="s">
        <v>49</v>
      </c>
      <c r="G37" s="30" t="s">
        <v>33</v>
      </c>
      <c r="H37" s="13">
        <f>H36*1.05</f>
        <v>8458.765875</v>
      </c>
      <c r="I37" s="2">
        <v>5193</v>
      </c>
      <c r="J37" s="1"/>
    </row>
    <row r="38" customFormat="1" ht="21" customHeight="1" spans="1:10">
      <c r="A38" s="31" t="s">
        <v>50</v>
      </c>
      <c r="B38" s="31" t="s">
        <v>28</v>
      </c>
      <c r="C38" s="25" t="s">
        <v>29</v>
      </c>
      <c r="D38" s="31"/>
      <c r="E38" s="32" t="s">
        <v>31</v>
      </c>
      <c r="F38" s="31" t="s">
        <v>51</v>
      </c>
      <c r="G38" s="31" t="s">
        <v>33</v>
      </c>
      <c r="H38" s="13">
        <f>3906*1.1</f>
        <v>4296.6</v>
      </c>
      <c r="I38" s="33">
        <f t="shared" ref="I38:I42" si="0">419/0.3</f>
        <v>1396.66666666667</v>
      </c>
      <c r="J38" s="23"/>
    </row>
    <row r="39" customFormat="1" ht="21" customHeight="1" spans="1:10">
      <c r="A39" s="34" t="s">
        <v>50</v>
      </c>
      <c r="B39" s="34" t="s">
        <v>28</v>
      </c>
      <c r="C39" s="2" t="s">
        <v>34</v>
      </c>
      <c r="D39" s="34"/>
      <c r="E39" s="35" t="s">
        <v>31</v>
      </c>
      <c r="F39" s="34" t="s">
        <v>51</v>
      </c>
      <c r="G39" s="34" t="s">
        <v>33</v>
      </c>
      <c r="H39" s="13">
        <f>H38*1.05</f>
        <v>4511.43</v>
      </c>
      <c r="I39" s="33">
        <f t="shared" si="0"/>
        <v>1396.66666666667</v>
      </c>
      <c r="J39" s="27"/>
    </row>
    <row r="40" customFormat="1" ht="21" customHeight="1" spans="1:10">
      <c r="A40" s="34" t="s">
        <v>50</v>
      </c>
      <c r="B40" s="34" t="s">
        <v>28</v>
      </c>
      <c r="C40" s="25" t="s">
        <v>35</v>
      </c>
      <c r="D40" s="34"/>
      <c r="E40" s="35" t="s">
        <v>31</v>
      </c>
      <c r="F40" s="34" t="s">
        <v>51</v>
      </c>
      <c r="G40" s="34" t="s">
        <v>33</v>
      </c>
      <c r="H40" s="13">
        <f>3530*1.1</f>
        <v>3883</v>
      </c>
      <c r="I40" s="33">
        <f t="shared" si="0"/>
        <v>1396.66666666667</v>
      </c>
      <c r="J40" s="27"/>
    </row>
    <row r="41" customFormat="1" ht="21" customHeight="1" spans="1:10">
      <c r="A41" s="34" t="s">
        <v>50</v>
      </c>
      <c r="B41" s="34" t="s">
        <v>28</v>
      </c>
      <c r="C41" s="2" t="s">
        <v>36</v>
      </c>
      <c r="D41" s="34"/>
      <c r="E41" s="35" t="s">
        <v>31</v>
      </c>
      <c r="F41" s="34" t="s">
        <v>51</v>
      </c>
      <c r="G41" s="34" t="s">
        <v>33</v>
      </c>
      <c r="H41" s="13">
        <f>H40*1.05</f>
        <v>4077.15</v>
      </c>
      <c r="I41" s="33">
        <f t="shared" si="0"/>
        <v>1396.66666666667</v>
      </c>
      <c r="J41" s="27"/>
    </row>
    <row r="42" customFormat="1" ht="21" customHeight="1" spans="1:10">
      <c r="A42" s="36" t="s">
        <v>50</v>
      </c>
      <c r="B42" s="36" t="s">
        <v>28</v>
      </c>
      <c r="C42" s="2" t="s">
        <v>37</v>
      </c>
      <c r="D42" s="36"/>
      <c r="E42" s="37" t="s">
        <v>31</v>
      </c>
      <c r="F42" s="36" t="s">
        <v>51</v>
      </c>
      <c r="G42" s="36" t="s">
        <v>33</v>
      </c>
      <c r="H42" s="13">
        <f>H41*1.05</f>
        <v>4281.0075</v>
      </c>
      <c r="I42" s="33">
        <f t="shared" si="0"/>
        <v>1396.66666666667</v>
      </c>
      <c r="J42" s="29"/>
    </row>
    <row r="43" customFormat="1" ht="21" customHeight="1" spans="1:10">
      <c r="A43" s="31" t="s">
        <v>52</v>
      </c>
      <c r="B43" s="31" t="s">
        <v>28</v>
      </c>
      <c r="C43" s="25" t="s">
        <v>29</v>
      </c>
      <c r="D43" s="31"/>
      <c r="E43" s="32" t="s">
        <v>31</v>
      </c>
      <c r="F43" s="31" t="s">
        <v>53</v>
      </c>
      <c r="G43" s="31" t="s">
        <v>33</v>
      </c>
      <c r="H43" s="13">
        <f>4093*1.1</f>
        <v>4502.3</v>
      </c>
      <c r="I43" s="31">
        <v>1602</v>
      </c>
      <c r="J43" s="23"/>
    </row>
    <row r="44" customFormat="1" ht="21" customHeight="1" spans="1:10">
      <c r="A44" s="34" t="s">
        <v>52</v>
      </c>
      <c r="B44" s="34" t="s">
        <v>28</v>
      </c>
      <c r="C44" s="2" t="s">
        <v>34</v>
      </c>
      <c r="D44" s="34"/>
      <c r="E44" s="35" t="s">
        <v>31</v>
      </c>
      <c r="F44" s="34" t="s">
        <v>53</v>
      </c>
      <c r="G44" s="34" t="s">
        <v>33</v>
      </c>
      <c r="H44" s="13">
        <f t="shared" ref="H44:H47" si="1">H43*1.05</f>
        <v>4727.415</v>
      </c>
      <c r="I44" s="34">
        <v>1602</v>
      </c>
      <c r="J44" s="27"/>
    </row>
    <row r="45" customFormat="1" ht="21" customHeight="1" spans="1:10">
      <c r="A45" s="34" t="s">
        <v>52</v>
      </c>
      <c r="B45" s="34" t="s">
        <v>28</v>
      </c>
      <c r="C45" s="25" t="s">
        <v>35</v>
      </c>
      <c r="D45" s="34"/>
      <c r="E45" s="35" t="s">
        <v>31</v>
      </c>
      <c r="F45" s="34" t="s">
        <v>53</v>
      </c>
      <c r="G45" s="34" t="s">
        <v>33</v>
      </c>
      <c r="H45" s="13">
        <f>3723*1.1</f>
        <v>4095.3</v>
      </c>
      <c r="I45" s="34">
        <v>1602</v>
      </c>
      <c r="J45" s="27"/>
    </row>
    <row r="46" customFormat="1" ht="21" customHeight="1" spans="1:10">
      <c r="A46" s="34" t="s">
        <v>52</v>
      </c>
      <c r="B46" s="34" t="s">
        <v>28</v>
      </c>
      <c r="C46" s="2" t="s">
        <v>36</v>
      </c>
      <c r="D46" s="34"/>
      <c r="E46" s="35" t="s">
        <v>31</v>
      </c>
      <c r="F46" s="34" t="s">
        <v>53</v>
      </c>
      <c r="G46" s="34" t="s">
        <v>33</v>
      </c>
      <c r="H46" s="13">
        <f t="shared" si="1"/>
        <v>4300.065</v>
      </c>
      <c r="I46" s="34">
        <v>1602</v>
      </c>
      <c r="J46" s="27"/>
    </row>
    <row r="47" customFormat="1" ht="21" customHeight="1" spans="1:10">
      <c r="A47" s="36" t="s">
        <v>52</v>
      </c>
      <c r="B47" s="36" t="s">
        <v>28</v>
      </c>
      <c r="C47" s="2" t="s">
        <v>37</v>
      </c>
      <c r="D47" s="36"/>
      <c r="E47" s="37" t="s">
        <v>31</v>
      </c>
      <c r="F47" s="36" t="s">
        <v>53</v>
      </c>
      <c r="G47" s="36" t="s">
        <v>33</v>
      </c>
      <c r="H47" s="13">
        <f t="shared" si="1"/>
        <v>4515.06825</v>
      </c>
      <c r="I47" s="36">
        <v>1602</v>
      </c>
      <c r="J47" s="29"/>
    </row>
    <row r="48" customFormat="1" ht="21" customHeight="1" spans="1:10">
      <c r="A48" s="31" t="s">
        <v>54</v>
      </c>
      <c r="B48" s="31" t="s">
        <v>28</v>
      </c>
      <c r="C48" s="25" t="s">
        <v>29</v>
      </c>
      <c r="D48" s="31"/>
      <c r="E48" s="32" t="s">
        <v>31</v>
      </c>
      <c r="F48" s="32" t="s">
        <v>55</v>
      </c>
      <c r="G48" s="31" t="s">
        <v>33</v>
      </c>
      <c r="H48" s="13">
        <f>4210*1.1</f>
        <v>4631</v>
      </c>
      <c r="I48" s="31">
        <v>1598</v>
      </c>
      <c r="J48" s="23"/>
    </row>
    <row r="49" customFormat="1" ht="21" customHeight="1" spans="1:10">
      <c r="A49" s="34" t="s">
        <v>54</v>
      </c>
      <c r="B49" s="34" t="s">
        <v>28</v>
      </c>
      <c r="C49" s="2" t="s">
        <v>34</v>
      </c>
      <c r="D49" s="34"/>
      <c r="E49" s="35" t="s">
        <v>31</v>
      </c>
      <c r="F49" s="35" t="s">
        <v>55</v>
      </c>
      <c r="G49" s="34" t="s">
        <v>33</v>
      </c>
      <c r="H49" s="13">
        <f t="shared" ref="H49:H52" si="2">H48*1.05</f>
        <v>4862.55</v>
      </c>
      <c r="I49" s="34">
        <v>1598</v>
      </c>
      <c r="J49" s="27"/>
    </row>
    <row r="50" customFormat="1" ht="21" customHeight="1" spans="1:10">
      <c r="A50" s="34" t="s">
        <v>54</v>
      </c>
      <c r="B50" s="34" t="s">
        <v>28</v>
      </c>
      <c r="C50" s="25" t="s">
        <v>35</v>
      </c>
      <c r="D50" s="34"/>
      <c r="E50" s="35" t="s">
        <v>31</v>
      </c>
      <c r="F50" s="35" t="s">
        <v>55</v>
      </c>
      <c r="G50" s="34" t="s">
        <v>33</v>
      </c>
      <c r="H50" s="13">
        <f>3843*1.1</f>
        <v>4227.3</v>
      </c>
      <c r="I50" s="34">
        <v>1598</v>
      </c>
      <c r="J50" s="27"/>
    </row>
    <row r="51" customFormat="1" ht="21" customHeight="1" spans="1:10">
      <c r="A51" s="34" t="s">
        <v>54</v>
      </c>
      <c r="B51" s="34" t="s">
        <v>28</v>
      </c>
      <c r="C51" s="2" t="s">
        <v>36</v>
      </c>
      <c r="D51" s="34"/>
      <c r="E51" s="35" t="s">
        <v>31</v>
      </c>
      <c r="F51" s="35" t="s">
        <v>55</v>
      </c>
      <c r="G51" s="34" t="s">
        <v>33</v>
      </c>
      <c r="H51" s="13">
        <f t="shared" si="2"/>
        <v>4438.665</v>
      </c>
      <c r="I51" s="34">
        <v>1598</v>
      </c>
      <c r="J51" s="27"/>
    </row>
    <row r="52" customFormat="1" ht="21" customHeight="1" spans="1:10">
      <c r="A52" s="36" t="s">
        <v>54</v>
      </c>
      <c r="B52" s="36" t="s">
        <v>28</v>
      </c>
      <c r="C52" s="2" t="s">
        <v>37</v>
      </c>
      <c r="D52" s="36"/>
      <c r="E52" s="37" t="s">
        <v>31</v>
      </c>
      <c r="F52" s="37" t="s">
        <v>55</v>
      </c>
      <c r="G52" s="36" t="s">
        <v>33</v>
      </c>
      <c r="H52" s="13">
        <f t="shared" si="2"/>
        <v>4660.59825</v>
      </c>
      <c r="I52" s="36">
        <v>1598</v>
      </c>
      <c r="J52" s="29"/>
    </row>
    <row r="53" customFormat="1" ht="21" customHeight="1" spans="1:10">
      <c r="A53" s="31" t="s">
        <v>56</v>
      </c>
      <c r="B53" s="31" t="s">
        <v>28</v>
      </c>
      <c r="C53" s="25" t="s">
        <v>29</v>
      </c>
      <c r="D53" s="31"/>
      <c r="E53" s="32" t="s">
        <v>31</v>
      </c>
      <c r="F53" s="32" t="s">
        <v>57</v>
      </c>
      <c r="G53" s="31" t="s">
        <v>33</v>
      </c>
      <c r="H53" s="13">
        <f>4614*1.1</f>
        <v>5075.4</v>
      </c>
      <c r="I53" s="31">
        <v>2226</v>
      </c>
      <c r="J53" s="23"/>
    </row>
    <row r="54" customFormat="1" ht="21" customHeight="1" spans="1:10">
      <c r="A54" s="34" t="s">
        <v>56</v>
      </c>
      <c r="B54" s="34" t="s">
        <v>28</v>
      </c>
      <c r="C54" s="2" t="s">
        <v>34</v>
      </c>
      <c r="D54" s="34"/>
      <c r="E54" s="35" t="s">
        <v>31</v>
      </c>
      <c r="F54" s="35" t="s">
        <v>57</v>
      </c>
      <c r="G54" s="34" t="s">
        <v>33</v>
      </c>
      <c r="H54" s="13">
        <f t="shared" ref="H54:H57" si="3">H53*1.05</f>
        <v>5329.17</v>
      </c>
      <c r="I54" s="34">
        <v>2226</v>
      </c>
      <c r="J54" s="27"/>
    </row>
    <row r="55" customFormat="1" ht="21" customHeight="1" spans="1:10">
      <c r="A55" s="34" t="s">
        <v>56</v>
      </c>
      <c r="B55" s="34" t="s">
        <v>28</v>
      </c>
      <c r="C55" s="25" t="s">
        <v>35</v>
      </c>
      <c r="D55" s="34"/>
      <c r="E55" s="35" t="s">
        <v>31</v>
      </c>
      <c r="F55" s="35" t="s">
        <v>57</v>
      </c>
      <c r="G55" s="34" t="s">
        <v>33</v>
      </c>
      <c r="H55" s="13">
        <f>4260*1.1</f>
        <v>4686</v>
      </c>
      <c r="I55" s="34">
        <v>2226</v>
      </c>
      <c r="J55" s="27"/>
    </row>
    <row r="56" customFormat="1" ht="21" customHeight="1" spans="1:10">
      <c r="A56" s="34" t="s">
        <v>56</v>
      </c>
      <c r="B56" s="34" t="s">
        <v>28</v>
      </c>
      <c r="C56" s="2" t="s">
        <v>36</v>
      </c>
      <c r="D56" s="34"/>
      <c r="E56" s="35" t="s">
        <v>31</v>
      </c>
      <c r="F56" s="35" t="s">
        <v>57</v>
      </c>
      <c r="G56" s="34" t="s">
        <v>33</v>
      </c>
      <c r="H56" s="13">
        <f t="shared" si="3"/>
        <v>4920.3</v>
      </c>
      <c r="I56" s="34">
        <v>2226</v>
      </c>
      <c r="J56" s="27"/>
    </row>
    <row r="57" customFormat="1" ht="21" customHeight="1" spans="1:10">
      <c r="A57" s="36" t="s">
        <v>56</v>
      </c>
      <c r="B57" s="36" t="s">
        <v>28</v>
      </c>
      <c r="C57" s="2" t="s">
        <v>37</v>
      </c>
      <c r="D57" s="36"/>
      <c r="E57" s="37" t="s">
        <v>31</v>
      </c>
      <c r="F57" s="37" t="s">
        <v>57</v>
      </c>
      <c r="G57" s="36" t="s">
        <v>33</v>
      </c>
      <c r="H57" s="13">
        <f t="shared" si="3"/>
        <v>5166.315</v>
      </c>
      <c r="I57" s="36">
        <v>2226</v>
      </c>
      <c r="J57" s="29"/>
    </row>
    <row r="58" customFormat="1" ht="21" customHeight="1" spans="1:10">
      <c r="A58" s="31" t="s">
        <v>58</v>
      </c>
      <c r="B58" s="31" t="s">
        <v>28</v>
      </c>
      <c r="C58" s="25" t="s">
        <v>29</v>
      </c>
      <c r="D58" s="31"/>
      <c r="E58" s="32" t="s">
        <v>31</v>
      </c>
      <c r="F58" s="32" t="s">
        <v>59</v>
      </c>
      <c r="G58" s="31" t="s">
        <v>33</v>
      </c>
      <c r="H58" s="13">
        <f>5179*1.1</f>
        <v>5696.9</v>
      </c>
      <c r="I58" s="31">
        <v>3222</v>
      </c>
      <c r="J58" s="23"/>
    </row>
    <row r="59" customFormat="1" ht="21" customHeight="1" spans="1:10">
      <c r="A59" s="34" t="s">
        <v>58</v>
      </c>
      <c r="B59" s="34" t="s">
        <v>28</v>
      </c>
      <c r="C59" s="2" t="s">
        <v>34</v>
      </c>
      <c r="D59" s="34"/>
      <c r="E59" s="35" t="s">
        <v>31</v>
      </c>
      <c r="F59" s="35" t="s">
        <v>59</v>
      </c>
      <c r="G59" s="34" t="s">
        <v>33</v>
      </c>
      <c r="H59" s="13">
        <f t="shared" ref="H59:H62" si="4">H58*1.05</f>
        <v>5981.745</v>
      </c>
      <c r="I59" s="34">
        <v>3222</v>
      </c>
      <c r="J59" s="27"/>
    </row>
    <row r="60" customFormat="1" ht="21" customHeight="1" spans="1:10">
      <c r="A60" s="34" t="s">
        <v>58</v>
      </c>
      <c r="B60" s="34" t="s">
        <v>28</v>
      </c>
      <c r="C60" s="25" t="s">
        <v>35</v>
      </c>
      <c r="D60" s="34"/>
      <c r="E60" s="35" t="s">
        <v>31</v>
      </c>
      <c r="F60" s="35" t="s">
        <v>59</v>
      </c>
      <c r="G60" s="34" t="s">
        <v>33</v>
      </c>
      <c r="H60" s="13">
        <f>4805*1.1</f>
        <v>5285.5</v>
      </c>
      <c r="I60" s="34">
        <v>3222</v>
      </c>
      <c r="J60" s="27"/>
    </row>
    <row r="61" customFormat="1" ht="21" customHeight="1" spans="1:10">
      <c r="A61" s="34" t="s">
        <v>58</v>
      </c>
      <c r="B61" s="34" t="s">
        <v>28</v>
      </c>
      <c r="C61" s="2" t="s">
        <v>36</v>
      </c>
      <c r="D61" s="34"/>
      <c r="E61" s="35" t="s">
        <v>31</v>
      </c>
      <c r="F61" s="35" t="s">
        <v>59</v>
      </c>
      <c r="G61" s="34" t="s">
        <v>33</v>
      </c>
      <c r="H61" s="13">
        <f t="shared" si="4"/>
        <v>5549.775</v>
      </c>
      <c r="I61" s="34">
        <v>3222</v>
      </c>
      <c r="J61" s="27"/>
    </row>
    <row r="62" customFormat="1" ht="21" customHeight="1" spans="1:10">
      <c r="A62" s="36" t="s">
        <v>58</v>
      </c>
      <c r="B62" s="36" t="s">
        <v>28</v>
      </c>
      <c r="C62" s="2" t="s">
        <v>37</v>
      </c>
      <c r="D62" s="36"/>
      <c r="E62" s="37" t="s">
        <v>31</v>
      </c>
      <c r="F62" s="37" t="s">
        <v>59</v>
      </c>
      <c r="G62" s="36" t="s">
        <v>33</v>
      </c>
      <c r="H62" s="13">
        <f t="shared" si="4"/>
        <v>5827.26375</v>
      </c>
      <c r="I62" s="36">
        <v>3222</v>
      </c>
      <c r="J62" s="29"/>
    </row>
    <row r="63" customFormat="1" ht="21" customHeight="1" spans="1:10">
      <c r="A63" s="31" t="s">
        <v>60</v>
      </c>
      <c r="B63" s="31" t="s">
        <v>28</v>
      </c>
      <c r="C63" s="25" t="s">
        <v>29</v>
      </c>
      <c r="D63" s="31"/>
      <c r="E63" s="32" t="s">
        <v>31</v>
      </c>
      <c r="F63" s="31" t="s">
        <v>51</v>
      </c>
      <c r="G63" s="31" t="s">
        <v>33</v>
      </c>
      <c r="H63" s="13">
        <f>4503*1.1</f>
        <v>4953.3</v>
      </c>
      <c r="I63" s="31">
        <v>2050</v>
      </c>
      <c r="J63" s="23"/>
    </row>
    <row r="64" customFormat="1" ht="21" customHeight="1" spans="1:10">
      <c r="A64" s="34" t="s">
        <v>60</v>
      </c>
      <c r="B64" s="34" t="s">
        <v>28</v>
      </c>
      <c r="C64" s="2" t="s">
        <v>34</v>
      </c>
      <c r="D64" s="34"/>
      <c r="E64" s="35" t="s">
        <v>31</v>
      </c>
      <c r="F64" s="34" t="s">
        <v>51</v>
      </c>
      <c r="G64" s="34" t="s">
        <v>33</v>
      </c>
      <c r="H64" s="13">
        <f t="shared" ref="H64:H67" si="5">H63*1.05</f>
        <v>5200.965</v>
      </c>
      <c r="I64" s="34">
        <v>2050</v>
      </c>
      <c r="J64" s="27"/>
    </row>
    <row r="65" customFormat="1" ht="21" customHeight="1" spans="1:14">
      <c r="A65" s="34" t="s">
        <v>60</v>
      </c>
      <c r="B65" s="34" t="s">
        <v>28</v>
      </c>
      <c r="C65" s="25" t="s">
        <v>35</v>
      </c>
      <c r="D65" s="34"/>
      <c r="E65" s="35" t="s">
        <v>31</v>
      </c>
      <c r="F65" s="34" t="s">
        <v>51</v>
      </c>
      <c r="G65" s="34" t="s">
        <v>33</v>
      </c>
      <c r="H65" s="13">
        <f>4145*1.1</f>
        <v>4559.5</v>
      </c>
      <c r="I65" s="34">
        <v>2050</v>
      </c>
      <c r="J65" s="27"/>
    </row>
    <row r="66" customFormat="1" ht="21" customHeight="1" spans="1:14">
      <c r="A66" s="34" t="s">
        <v>60</v>
      </c>
      <c r="B66" s="34" t="s">
        <v>28</v>
      </c>
      <c r="C66" s="2" t="s">
        <v>36</v>
      </c>
      <c r="D66" s="34"/>
      <c r="E66" s="35" t="s">
        <v>31</v>
      </c>
      <c r="F66" s="34" t="s">
        <v>51</v>
      </c>
      <c r="G66" s="34" t="s">
        <v>33</v>
      </c>
      <c r="H66" s="13">
        <f t="shared" si="5"/>
        <v>4787.475</v>
      </c>
      <c r="I66" s="34">
        <v>2050</v>
      </c>
      <c r="J66" s="27"/>
    </row>
    <row r="67" customFormat="1" ht="21" customHeight="1" spans="1:14">
      <c r="A67" s="36" t="s">
        <v>60</v>
      </c>
      <c r="B67" s="36" t="s">
        <v>28</v>
      </c>
      <c r="C67" s="2" t="s">
        <v>37</v>
      </c>
      <c r="D67" s="36"/>
      <c r="E67" s="37" t="s">
        <v>31</v>
      </c>
      <c r="F67" s="36" t="s">
        <v>51</v>
      </c>
      <c r="G67" s="36" t="s">
        <v>33</v>
      </c>
      <c r="H67" s="13">
        <f t="shared" si="5"/>
        <v>5026.84875</v>
      </c>
      <c r="I67" s="36">
        <v>2050</v>
      </c>
      <c r="J67" s="29"/>
    </row>
    <row r="68" customFormat="1" ht="21" customHeight="1" spans="1:14">
      <c r="A68" s="31" t="s">
        <v>61</v>
      </c>
      <c r="B68" s="31" t="s">
        <v>28</v>
      </c>
      <c r="C68" s="25" t="s">
        <v>29</v>
      </c>
      <c r="D68" s="31"/>
      <c r="E68" s="32" t="s">
        <v>31</v>
      </c>
      <c r="F68" s="32" t="s">
        <v>62</v>
      </c>
      <c r="G68" s="31" t="s">
        <v>33</v>
      </c>
      <c r="H68" s="13">
        <f>4692*1.1</f>
        <v>5161.2</v>
      </c>
      <c r="I68" s="31">
        <v>2467</v>
      </c>
      <c r="J68" s="23"/>
    </row>
    <row r="69" customFormat="1" ht="21" customHeight="1" spans="1:14">
      <c r="A69" s="34" t="s">
        <v>61</v>
      </c>
      <c r="B69" s="34" t="s">
        <v>28</v>
      </c>
      <c r="C69" s="2" t="s">
        <v>34</v>
      </c>
      <c r="D69" s="34"/>
      <c r="E69" s="35" t="s">
        <v>31</v>
      </c>
      <c r="F69" s="35" t="s">
        <v>62</v>
      </c>
      <c r="G69" s="34" t="s">
        <v>33</v>
      </c>
      <c r="H69" s="13">
        <f t="shared" ref="H69:H72" si="6">H68*1.05</f>
        <v>5419.26</v>
      </c>
      <c r="I69" s="34">
        <v>2467</v>
      </c>
      <c r="J69" s="27"/>
    </row>
    <row r="70" customFormat="1" ht="21" customHeight="1" spans="1:14">
      <c r="A70" s="34" t="s">
        <v>61</v>
      </c>
      <c r="B70" s="34" t="s">
        <v>28</v>
      </c>
      <c r="C70" s="25" t="s">
        <v>35</v>
      </c>
      <c r="D70" s="34"/>
      <c r="E70" s="35" t="s">
        <v>31</v>
      </c>
      <c r="F70" s="35" t="s">
        <v>62</v>
      </c>
      <c r="G70" s="34" t="s">
        <v>33</v>
      </c>
      <c r="H70" s="13">
        <f>4346*1.1</f>
        <v>4780.6</v>
      </c>
      <c r="I70" s="34">
        <v>2467</v>
      </c>
      <c r="J70" s="27"/>
    </row>
    <row r="71" customFormat="1" ht="21" customHeight="1" spans="1:14">
      <c r="A71" s="34" t="s">
        <v>61</v>
      </c>
      <c r="B71" s="34" t="s">
        <v>28</v>
      </c>
      <c r="C71" s="2" t="s">
        <v>36</v>
      </c>
      <c r="D71" s="34"/>
      <c r="E71" s="35" t="s">
        <v>31</v>
      </c>
      <c r="F71" s="35" t="s">
        <v>62</v>
      </c>
      <c r="G71" s="34" t="s">
        <v>33</v>
      </c>
      <c r="H71" s="13">
        <f t="shared" si="6"/>
        <v>5019.63</v>
      </c>
      <c r="I71" s="34">
        <v>2467</v>
      </c>
      <c r="J71" s="27"/>
    </row>
    <row r="72" customFormat="1" ht="21" customHeight="1" spans="1:14">
      <c r="A72" s="34" t="s">
        <v>61</v>
      </c>
      <c r="B72" s="34" t="s">
        <v>28</v>
      </c>
      <c r="C72" s="2" t="s">
        <v>37</v>
      </c>
      <c r="D72" s="36"/>
      <c r="E72" s="37" t="s">
        <v>31</v>
      </c>
      <c r="F72" s="37" t="s">
        <v>62</v>
      </c>
      <c r="G72" s="36" t="s">
        <v>33</v>
      </c>
      <c r="H72" s="13">
        <f t="shared" si="6"/>
        <v>5270.6115</v>
      </c>
      <c r="I72" s="36">
        <v>2467</v>
      </c>
      <c r="J72" s="29"/>
    </row>
    <row r="73" customFormat="1" ht="21" customHeight="1" spans="1:14">
      <c r="A73" s="31" t="s">
        <v>63</v>
      </c>
      <c r="B73" s="31" t="s">
        <v>28</v>
      </c>
      <c r="C73" s="25" t="s">
        <v>29</v>
      </c>
      <c r="D73" s="31"/>
      <c r="E73" s="32" t="s">
        <v>31</v>
      </c>
      <c r="F73" s="32" t="s">
        <v>64</v>
      </c>
      <c r="G73" s="31" t="s">
        <v>33</v>
      </c>
      <c r="H73" s="13">
        <f>5269*1.1</f>
        <v>5795.9</v>
      </c>
      <c r="I73" s="31">
        <v>3365</v>
      </c>
      <c r="J73" s="23"/>
      <c r="L73" s="38"/>
      <c r="M73" s="38"/>
      <c r="N73" s="38"/>
    </row>
    <row r="74" customFormat="1" ht="21" customHeight="1" spans="1:14">
      <c r="A74" s="34" t="s">
        <v>63</v>
      </c>
      <c r="B74" s="34" t="s">
        <v>28</v>
      </c>
      <c r="C74" s="2" t="s">
        <v>34</v>
      </c>
      <c r="D74" s="34"/>
      <c r="E74" s="35" t="s">
        <v>31</v>
      </c>
      <c r="F74" s="35" t="s">
        <v>64</v>
      </c>
      <c r="G74" s="34" t="s">
        <v>33</v>
      </c>
      <c r="H74" s="13">
        <f t="shared" ref="H74:H77" si="7">H73*1.05</f>
        <v>6085.695</v>
      </c>
      <c r="I74" s="34">
        <v>3365</v>
      </c>
      <c r="J74" s="27"/>
      <c r="L74" s="38"/>
      <c r="M74" s="38"/>
      <c r="N74" s="38"/>
    </row>
    <row r="75" customFormat="1" ht="21" customHeight="1" spans="1:14">
      <c r="A75" s="34" t="s">
        <v>63</v>
      </c>
      <c r="B75" s="34" t="s">
        <v>28</v>
      </c>
      <c r="C75" s="25" t="s">
        <v>35</v>
      </c>
      <c r="D75" s="34"/>
      <c r="E75" s="35" t="s">
        <v>31</v>
      </c>
      <c r="F75" s="35" t="s">
        <v>64</v>
      </c>
      <c r="G75" s="34" t="s">
        <v>33</v>
      </c>
      <c r="H75" s="13">
        <f>4933*1.1</f>
        <v>5426.3</v>
      </c>
      <c r="I75" s="34">
        <v>3365</v>
      </c>
      <c r="J75" s="27"/>
      <c r="L75" s="38"/>
      <c r="M75" s="39"/>
      <c r="N75" s="38"/>
    </row>
    <row r="76" customFormat="1" ht="21" customHeight="1" spans="1:14">
      <c r="A76" s="34" t="s">
        <v>63</v>
      </c>
      <c r="B76" s="34" t="s">
        <v>28</v>
      </c>
      <c r="C76" s="2" t="s">
        <v>36</v>
      </c>
      <c r="D76" s="34"/>
      <c r="E76" s="35" t="s">
        <v>31</v>
      </c>
      <c r="F76" s="35" t="s">
        <v>64</v>
      </c>
      <c r="G76" s="34" t="s">
        <v>33</v>
      </c>
      <c r="H76" s="13">
        <f t="shared" si="7"/>
        <v>5697.615</v>
      </c>
      <c r="I76" s="34">
        <v>3365</v>
      </c>
      <c r="J76" s="27"/>
      <c r="L76" s="38"/>
      <c r="M76" s="39"/>
      <c r="N76" s="38"/>
    </row>
    <row r="77" customFormat="1" ht="21" customHeight="1" spans="1:14">
      <c r="A77" s="36" t="s">
        <v>63</v>
      </c>
      <c r="B77" s="36" t="s">
        <v>28</v>
      </c>
      <c r="C77" s="2" t="s">
        <v>37</v>
      </c>
      <c r="D77" s="36"/>
      <c r="E77" s="37" t="s">
        <v>31</v>
      </c>
      <c r="F77" s="37" t="s">
        <v>64</v>
      </c>
      <c r="G77" s="36" t="s">
        <v>33</v>
      </c>
      <c r="H77" s="13">
        <f t="shared" si="7"/>
        <v>5982.49575</v>
      </c>
      <c r="I77" s="36">
        <v>3365</v>
      </c>
      <c r="J77" s="29"/>
      <c r="L77" s="38"/>
      <c r="M77" s="39"/>
      <c r="N77" s="38"/>
    </row>
    <row r="78" customFormat="1" ht="21" customHeight="1" spans="1:14">
      <c r="A78" s="31" t="s">
        <v>65</v>
      </c>
      <c r="B78" s="31" t="s">
        <v>28</v>
      </c>
      <c r="C78" s="25" t="s">
        <v>29</v>
      </c>
      <c r="D78" s="31"/>
      <c r="E78" s="32" t="s">
        <v>31</v>
      </c>
      <c r="F78" s="32" t="s">
        <v>66</v>
      </c>
      <c r="G78" s="31" t="s">
        <v>33</v>
      </c>
      <c r="H78" s="13">
        <f>6690*1.1</f>
        <v>7359</v>
      </c>
      <c r="I78" s="31">
        <v>5193</v>
      </c>
      <c r="J78" s="23"/>
      <c r="L78" s="38"/>
      <c r="M78" s="39"/>
      <c r="N78" s="38"/>
    </row>
    <row r="79" customFormat="1" ht="21" customHeight="1" spans="1:14">
      <c r="A79" s="34" t="s">
        <v>65</v>
      </c>
      <c r="B79" s="34" t="s">
        <v>28</v>
      </c>
      <c r="C79" s="2" t="s">
        <v>34</v>
      </c>
      <c r="D79" s="34"/>
      <c r="E79" s="35" t="s">
        <v>31</v>
      </c>
      <c r="F79" s="35" t="s">
        <v>66</v>
      </c>
      <c r="G79" s="34" t="s">
        <v>33</v>
      </c>
      <c r="H79" s="13">
        <f t="shared" ref="H79:H82" si="8">H78*1.05</f>
        <v>7726.95</v>
      </c>
      <c r="I79" s="34">
        <v>5193</v>
      </c>
      <c r="J79" s="27"/>
      <c r="L79" s="38"/>
      <c r="M79" s="39"/>
      <c r="N79" s="38"/>
    </row>
    <row r="80" customFormat="1" ht="21" customHeight="1" spans="1:14">
      <c r="A80" s="34" t="s">
        <v>65</v>
      </c>
      <c r="B80" s="34" t="s">
        <v>28</v>
      </c>
      <c r="C80" s="25" t="s">
        <v>35</v>
      </c>
      <c r="D80" s="34"/>
      <c r="E80" s="35" t="s">
        <v>31</v>
      </c>
      <c r="F80" s="35" t="s">
        <v>66</v>
      </c>
      <c r="G80" s="34" t="s">
        <v>33</v>
      </c>
      <c r="H80" s="13">
        <f>6401*1.1</f>
        <v>7041.1</v>
      </c>
      <c r="I80" s="34">
        <v>5193</v>
      </c>
      <c r="J80" s="27"/>
      <c r="L80" s="38"/>
      <c r="M80" s="38"/>
      <c r="N80" s="38"/>
    </row>
    <row r="81" customFormat="1" ht="21" customHeight="1" spans="1:10">
      <c r="A81" s="34" t="s">
        <v>65</v>
      </c>
      <c r="B81" s="34" t="s">
        <v>28</v>
      </c>
      <c r="C81" s="2" t="s">
        <v>36</v>
      </c>
      <c r="D81" s="34"/>
      <c r="E81" s="35" t="s">
        <v>31</v>
      </c>
      <c r="F81" s="35" t="s">
        <v>66</v>
      </c>
      <c r="G81" s="34" t="s">
        <v>33</v>
      </c>
      <c r="H81" s="13">
        <f t="shared" si="8"/>
        <v>7393.155</v>
      </c>
      <c r="I81" s="34">
        <v>5193</v>
      </c>
      <c r="J81" s="27"/>
    </row>
    <row r="82" customFormat="1" ht="21" customHeight="1" spans="1:10">
      <c r="A82" s="36" t="s">
        <v>65</v>
      </c>
      <c r="B82" s="36" t="s">
        <v>28</v>
      </c>
      <c r="C82" s="2" t="s">
        <v>37</v>
      </c>
      <c r="D82" s="36"/>
      <c r="E82" s="37" t="s">
        <v>31</v>
      </c>
      <c r="F82" s="37" t="s">
        <v>66</v>
      </c>
      <c r="G82" s="36" t="s">
        <v>33</v>
      </c>
      <c r="H82" s="13">
        <f t="shared" si="8"/>
        <v>7762.81275</v>
      </c>
      <c r="I82" s="36">
        <v>5193</v>
      </c>
      <c r="J82" s="29"/>
    </row>
    <row r="83" ht="21" customHeight="1" spans="1:10">
      <c r="A83" s="1"/>
      <c r="B83" s="1"/>
      <c r="C83" s="1"/>
      <c r="D83" s="1"/>
      <c r="E83" s="1"/>
      <c r="F83" s="1"/>
      <c r="G83" s="1"/>
      <c r="H83" s="1"/>
      <c r="I83" s="1"/>
      <c r="J83" s="40"/>
    </row>
    <row r="84" ht="21" customHeight="1" spans="1:10">
      <c r="A84" s="1"/>
      <c r="B84" s="1"/>
      <c r="C84" s="1"/>
      <c r="D84" s="1"/>
      <c r="E84" s="1"/>
      <c r="F84" s="1"/>
      <c r="G84" s="1"/>
      <c r="H84" s="1"/>
      <c r="I84" s="1"/>
      <c r="J84" s="40"/>
    </row>
    <row r="85" ht="21" customHeight="1" spans="1:10">
      <c r="A85" s="1"/>
      <c r="B85" s="1"/>
      <c r="C85" s="1"/>
      <c r="D85" s="1"/>
      <c r="E85" s="1"/>
      <c r="F85" s="1"/>
      <c r="G85" s="1"/>
      <c r="H85" s="1"/>
      <c r="I85" s="1"/>
      <c r="J85" s="40"/>
    </row>
    <row r="86" ht="40" customHeight="1" spans="1:10">
      <c r="A86" s="1"/>
      <c r="B86" s="1"/>
      <c r="C86" s="1"/>
      <c r="D86" s="1"/>
      <c r="E86" s="1"/>
      <c r="F86" s="1"/>
      <c r="G86" s="1"/>
      <c r="H86" s="1"/>
      <c r="I86" s="1"/>
      <c r="J86" s="40"/>
    </row>
    <row r="87" ht="40" customHeight="1" spans="1:10">
      <c r="A87" s="1"/>
      <c r="B87" s="1"/>
      <c r="C87" s="1"/>
      <c r="D87" s="1"/>
      <c r="E87" s="1"/>
      <c r="F87" s="1"/>
      <c r="G87" s="1"/>
      <c r="H87" s="1"/>
      <c r="I87" s="1"/>
      <c r="J87" s="40"/>
    </row>
    <row r="88" ht="21" customHeight="1" spans="1:10">
      <c r="A88" s="1"/>
      <c r="B88" s="1"/>
      <c r="C88" s="1"/>
      <c r="D88" s="1"/>
      <c r="E88" s="1"/>
      <c r="F88" s="1"/>
      <c r="G88" s="1"/>
      <c r="H88" s="1"/>
      <c r="I88" s="1"/>
      <c r="J88" s="40"/>
    </row>
    <row r="89" ht="21" customHeight="1" spans="1:10">
      <c r="A89" s="1"/>
      <c r="B89" s="1"/>
      <c r="C89" s="1"/>
      <c r="D89" s="1"/>
      <c r="E89" s="1"/>
      <c r="F89" s="1"/>
      <c r="G89" s="1"/>
      <c r="H89" s="1"/>
      <c r="I89" s="1"/>
      <c r="J89" s="40"/>
    </row>
    <row r="90" ht="21" customHeight="1" spans="1:10">
      <c r="A90" s="1"/>
      <c r="B90" s="1"/>
      <c r="C90" s="1"/>
      <c r="D90" s="1"/>
      <c r="E90" s="1"/>
      <c r="F90" s="1"/>
      <c r="G90" s="1"/>
      <c r="H90" s="1"/>
      <c r="I90" s="1"/>
      <c r="J90" s="40"/>
    </row>
    <row r="91" ht="21" customHeight="1" spans="1:10">
      <c r="A91" s="1"/>
      <c r="B91" s="1"/>
      <c r="C91" s="1"/>
      <c r="D91" s="1"/>
      <c r="E91" s="1"/>
      <c r="F91" s="1"/>
      <c r="G91" s="1"/>
      <c r="H91" s="1"/>
      <c r="I91" s="1"/>
      <c r="J91" s="40"/>
    </row>
    <row r="92" ht="21" customHeight="1" spans="1:10">
      <c r="A92" s="1"/>
      <c r="B92" s="1"/>
      <c r="C92" s="1"/>
      <c r="D92" s="1"/>
      <c r="E92" s="1"/>
      <c r="F92" s="1"/>
      <c r="G92" s="1"/>
      <c r="H92" s="1"/>
      <c r="I92" s="1"/>
      <c r="J92" s="40"/>
    </row>
    <row r="93" ht="40" customHeight="1" spans="1:10">
      <c r="A93" s="1"/>
      <c r="B93" s="1"/>
      <c r="C93" s="1"/>
      <c r="D93" s="1"/>
      <c r="E93" s="1"/>
      <c r="F93" s="1"/>
      <c r="G93" s="1"/>
      <c r="H93" s="1"/>
      <c r="I93" s="1"/>
      <c r="J93" s="40"/>
    </row>
    <row r="94" ht="21" customHeight="1" spans="1:10">
      <c r="A94" s="1"/>
      <c r="B94" s="1"/>
      <c r="C94" s="1"/>
      <c r="D94" s="1"/>
      <c r="E94" s="1"/>
      <c r="F94" s="1"/>
      <c r="G94" s="1"/>
      <c r="H94" s="1"/>
      <c r="I94" s="1"/>
      <c r="J94" s="40"/>
    </row>
    <row r="95" ht="21" customHeight="1" spans="1:10">
      <c r="A95" s="1"/>
      <c r="B95" s="1"/>
      <c r="C95" s="1"/>
      <c r="D95" s="1"/>
      <c r="E95" s="1"/>
      <c r="F95" s="1"/>
      <c r="G95" s="1"/>
      <c r="H95" s="1"/>
      <c r="I95" s="1"/>
      <c r="J95" s="40"/>
    </row>
    <row r="96" ht="21" customHeight="1" spans="1:10">
      <c r="A96" s="1"/>
      <c r="B96" s="1"/>
      <c r="C96" s="1"/>
      <c r="D96" s="1"/>
      <c r="E96" s="1"/>
      <c r="F96" s="1"/>
      <c r="G96" s="1"/>
      <c r="H96" s="1"/>
      <c r="I96" s="1"/>
      <c r="J96" s="40"/>
    </row>
    <row r="97" ht="45" customHeight="1" spans="1:10">
      <c r="A97" s="41"/>
      <c r="B97" s="42"/>
      <c r="C97" s="42"/>
      <c r="D97" s="42"/>
      <c r="E97" s="42"/>
      <c r="F97" s="42"/>
      <c r="G97" s="42"/>
      <c r="H97" s="42"/>
      <c r="I97" s="42"/>
      <c r="J97" s="42"/>
    </row>
    <row r="98" ht="19" customHeight="1" spans="1:10">
      <c r="A98" s="1" t="s">
        <v>67</v>
      </c>
      <c r="B98" s="1" t="s">
        <v>68</v>
      </c>
      <c r="C98" s="2" t="s">
        <v>69</v>
      </c>
      <c r="D98" s="1" t="s">
        <v>70</v>
      </c>
      <c r="E98" s="2" t="s">
        <v>6</v>
      </c>
      <c r="F98" s="2"/>
      <c r="G98" s="2" t="s">
        <v>71</v>
      </c>
      <c r="H98" s="2"/>
      <c r="I98" s="2"/>
      <c r="J98" s="2" t="s">
        <v>72</v>
      </c>
    </row>
    <row r="99" ht="19" customHeight="1" spans="1:10">
      <c r="A99" s="27" t="s">
        <v>73</v>
      </c>
      <c r="B99" s="28" t="s">
        <v>74</v>
      </c>
      <c r="C99" s="43" t="s">
        <v>75</v>
      </c>
      <c r="D99" s="1">
        <v>1655</v>
      </c>
      <c r="E99" s="44"/>
      <c r="F99" s="45"/>
      <c r="G99" s="46" t="s">
        <v>76</v>
      </c>
      <c r="H99" s="47"/>
      <c r="I99" s="48"/>
      <c r="J99" s="28" t="s">
        <v>77</v>
      </c>
    </row>
    <row r="100" ht="19" customHeight="1" spans="1:10">
      <c r="A100" s="27"/>
      <c r="B100" s="28"/>
      <c r="C100" s="43" t="s">
        <v>78</v>
      </c>
      <c r="D100" s="2">
        <v>1812</v>
      </c>
      <c r="E100" s="44"/>
      <c r="F100" s="45"/>
      <c r="G100" s="46"/>
      <c r="H100" s="47"/>
      <c r="I100" s="48"/>
      <c r="J100" s="28"/>
    </row>
    <row r="101" ht="19" customHeight="1" spans="1:10">
      <c r="A101" s="29"/>
      <c r="B101" s="30"/>
      <c r="C101" s="43" t="s">
        <v>79</v>
      </c>
      <c r="D101" s="2">
        <v>1812</v>
      </c>
      <c r="E101" s="44"/>
      <c r="F101" s="45"/>
      <c r="G101" s="46"/>
      <c r="H101" s="47"/>
      <c r="I101" s="48"/>
      <c r="J101" s="28"/>
    </row>
    <row r="102" ht="19" customHeight="1" spans="1:10">
      <c r="A102" s="23" t="s">
        <v>80</v>
      </c>
      <c r="B102" s="24" t="s">
        <v>81</v>
      </c>
      <c r="C102" s="43" t="s">
        <v>75</v>
      </c>
      <c r="D102" s="1">
        <v>1585</v>
      </c>
      <c r="E102" s="44"/>
      <c r="F102" s="45"/>
      <c r="G102" s="46"/>
      <c r="H102" s="47"/>
      <c r="I102" s="48"/>
      <c r="J102" s="28"/>
    </row>
    <row r="103" ht="19" customHeight="1" spans="1:10">
      <c r="A103" s="27"/>
      <c r="B103" s="28"/>
      <c r="C103" s="43" t="s">
        <v>78</v>
      </c>
      <c r="D103" s="2">
        <v>1652</v>
      </c>
      <c r="E103" s="44"/>
      <c r="F103" s="45"/>
      <c r="G103" s="46"/>
      <c r="H103" s="47"/>
      <c r="I103" s="48"/>
      <c r="J103" s="28"/>
    </row>
    <row r="104" ht="19" customHeight="1" spans="1:10">
      <c r="A104" s="29"/>
      <c r="B104" s="30"/>
      <c r="C104" s="43" t="s">
        <v>79</v>
      </c>
      <c r="D104" s="2">
        <v>1706</v>
      </c>
      <c r="E104" s="44"/>
      <c r="F104" s="45"/>
      <c r="G104" s="46"/>
      <c r="H104" s="47"/>
      <c r="I104" s="48"/>
      <c r="J104" s="28"/>
    </row>
    <row r="105" ht="19" customHeight="1" spans="1:10">
      <c r="A105" s="27" t="s">
        <v>82</v>
      </c>
      <c r="B105" s="28" t="s">
        <v>83</v>
      </c>
      <c r="C105" s="43" t="s">
        <v>75</v>
      </c>
      <c r="D105" s="1">
        <v>2765</v>
      </c>
      <c r="E105" s="44"/>
      <c r="F105" s="45"/>
      <c r="G105" s="46"/>
      <c r="H105" s="47"/>
      <c r="I105" s="48"/>
      <c r="J105" s="28"/>
    </row>
    <row r="106" ht="19" customHeight="1" spans="1:10">
      <c r="A106" s="27"/>
      <c r="B106" s="28"/>
      <c r="C106" s="43" t="s">
        <v>78</v>
      </c>
      <c r="D106" s="2">
        <v>2902</v>
      </c>
      <c r="E106" s="44"/>
      <c r="F106" s="45"/>
      <c r="G106" s="46"/>
      <c r="H106" s="47"/>
      <c r="I106" s="48"/>
      <c r="J106" s="28"/>
    </row>
    <row r="107" ht="19" customHeight="1" spans="1:10">
      <c r="A107" s="29"/>
      <c r="B107" s="30"/>
      <c r="C107" s="43" t="s">
        <v>79</v>
      </c>
      <c r="D107" s="2">
        <v>3092</v>
      </c>
      <c r="E107" s="44"/>
      <c r="F107" s="45"/>
      <c r="G107" s="46"/>
      <c r="H107" s="47"/>
      <c r="I107" s="48"/>
      <c r="J107" s="28"/>
    </row>
    <row r="108" ht="19" customHeight="1" spans="1:10">
      <c r="A108" s="1" t="s">
        <v>84</v>
      </c>
      <c r="B108" s="28" t="s">
        <v>85</v>
      </c>
      <c r="C108" s="43" t="s">
        <v>75</v>
      </c>
      <c r="D108" s="25">
        <v>3405</v>
      </c>
      <c r="E108" s="44"/>
      <c r="F108" s="45"/>
      <c r="G108" s="46"/>
      <c r="H108" s="47"/>
      <c r="I108" s="48"/>
      <c r="J108" s="28"/>
    </row>
    <row r="109" ht="19" customHeight="1" spans="1:10">
      <c r="A109" s="1"/>
      <c r="B109" s="28"/>
      <c r="C109" s="43" t="s">
        <v>78</v>
      </c>
      <c r="D109" s="2">
        <v>3532</v>
      </c>
      <c r="E109" s="44"/>
      <c r="F109" s="45"/>
      <c r="G109" s="46"/>
      <c r="H109" s="47"/>
      <c r="I109" s="48"/>
      <c r="J109" s="28"/>
    </row>
    <row r="110" ht="19" customHeight="1" spans="1:10">
      <c r="A110" s="1"/>
      <c r="B110" s="30"/>
      <c r="C110" s="43" t="s">
        <v>79</v>
      </c>
      <c r="D110" s="2">
        <v>3626</v>
      </c>
      <c r="E110" s="44"/>
      <c r="F110" s="45"/>
      <c r="G110" s="46"/>
      <c r="H110" s="47"/>
      <c r="I110" s="48"/>
      <c r="J110" s="28"/>
    </row>
    <row r="111" ht="19" customHeight="1" spans="1:10">
      <c r="A111" s="27" t="s">
        <v>86</v>
      </c>
      <c r="B111" s="28" t="s">
        <v>87</v>
      </c>
      <c r="C111" s="43" t="s">
        <v>75</v>
      </c>
      <c r="D111" s="1">
        <v>2765</v>
      </c>
      <c r="E111" s="44"/>
      <c r="F111" s="45"/>
      <c r="G111" s="46"/>
      <c r="H111" s="47"/>
      <c r="I111" s="48"/>
      <c r="J111" s="28"/>
    </row>
    <row r="112" ht="19" customHeight="1" spans="1:10">
      <c r="A112" s="27"/>
      <c r="B112" s="28"/>
      <c r="C112" s="43" t="s">
        <v>78</v>
      </c>
      <c r="D112" s="2">
        <v>2902</v>
      </c>
      <c r="E112" s="44"/>
      <c r="F112" s="45"/>
      <c r="G112" s="46"/>
      <c r="H112" s="47"/>
      <c r="I112" s="48"/>
      <c r="J112" s="28"/>
    </row>
    <row r="113" ht="19" customHeight="1" spans="1:10">
      <c r="A113" s="29"/>
      <c r="B113" s="30"/>
      <c r="C113" s="43" t="s">
        <v>79</v>
      </c>
      <c r="D113" s="2">
        <v>3092</v>
      </c>
      <c r="E113" s="44"/>
      <c r="F113" s="45"/>
      <c r="G113" s="46"/>
      <c r="H113" s="47"/>
      <c r="I113" s="48"/>
      <c r="J113" s="28"/>
    </row>
    <row r="114" ht="19" customHeight="1" spans="1:10">
      <c r="A114" s="27" t="s">
        <v>88</v>
      </c>
      <c r="B114" s="28" t="s">
        <v>89</v>
      </c>
      <c r="C114" s="43" t="s">
        <v>75</v>
      </c>
      <c r="D114" s="1">
        <v>3569</v>
      </c>
      <c r="E114" s="44"/>
      <c r="F114" s="45"/>
      <c r="G114" s="46"/>
      <c r="H114" s="47"/>
      <c r="I114" s="48"/>
      <c r="J114" s="28"/>
    </row>
    <row r="115" ht="19" customHeight="1" spans="1:10">
      <c r="A115" s="27"/>
      <c r="B115" s="28"/>
      <c r="C115" s="43" t="s">
        <v>78</v>
      </c>
      <c r="D115" s="25">
        <v>3658</v>
      </c>
      <c r="E115" s="44"/>
      <c r="F115" s="45"/>
      <c r="G115" s="46"/>
      <c r="H115" s="47"/>
      <c r="I115" s="48"/>
      <c r="J115" s="28"/>
    </row>
    <row r="116" ht="19" customHeight="1" spans="1:10">
      <c r="A116" s="29"/>
      <c r="B116" s="30"/>
      <c r="C116" s="43" t="s">
        <v>79</v>
      </c>
      <c r="D116" s="25">
        <v>3839</v>
      </c>
      <c r="E116" s="44"/>
      <c r="F116" s="45"/>
      <c r="G116" s="46"/>
      <c r="H116" s="47"/>
      <c r="I116" s="48"/>
      <c r="J116" s="28"/>
    </row>
    <row r="117" ht="19" customHeight="1" spans="1:10">
      <c r="A117" s="1" t="s">
        <v>90</v>
      </c>
      <c r="B117" s="28" t="s">
        <v>91</v>
      </c>
      <c r="C117" s="43" t="s">
        <v>75</v>
      </c>
      <c r="D117" s="25">
        <v>3405</v>
      </c>
      <c r="E117" s="44"/>
      <c r="F117" s="45"/>
      <c r="G117" s="46"/>
      <c r="H117" s="47"/>
      <c r="I117" s="48"/>
      <c r="J117" s="28"/>
    </row>
    <row r="118" ht="19" customHeight="1" spans="1:10">
      <c r="A118" s="1"/>
      <c r="B118" s="28"/>
      <c r="C118" s="43" t="s">
        <v>78</v>
      </c>
      <c r="D118" s="2">
        <v>3532</v>
      </c>
      <c r="E118" s="44"/>
      <c r="F118" s="45"/>
      <c r="G118" s="46"/>
      <c r="H118" s="47"/>
      <c r="I118" s="48"/>
      <c r="J118" s="28"/>
    </row>
    <row r="119" ht="19" customHeight="1" spans="1:10">
      <c r="A119" s="1"/>
      <c r="B119" s="30"/>
      <c r="C119" s="43" t="s">
        <v>79</v>
      </c>
      <c r="D119" s="2">
        <v>3626</v>
      </c>
      <c r="E119" s="44"/>
      <c r="F119" s="45"/>
      <c r="G119" s="46"/>
      <c r="H119" s="47"/>
      <c r="I119" s="48"/>
      <c r="J119" s="28"/>
    </row>
    <row r="120" ht="19" customHeight="1" spans="1:10">
      <c r="A120" s="1" t="s">
        <v>92</v>
      </c>
      <c r="B120" s="28" t="s">
        <v>93</v>
      </c>
      <c r="C120" s="43" t="s">
        <v>75</v>
      </c>
      <c r="D120" s="25">
        <v>3405</v>
      </c>
      <c r="E120" s="44"/>
      <c r="F120" s="45"/>
      <c r="G120" s="46"/>
      <c r="H120" s="47"/>
      <c r="I120" s="48"/>
      <c r="J120" s="28"/>
    </row>
    <row r="121" ht="19" customHeight="1" spans="1:10">
      <c r="A121" s="1"/>
      <c r="B121" s="28"/>
      <c r="C121" s="43" t="s">
        <v>78</v>
      </c>
      <c r="D121" s="2">
        <v>3532</v>
      </c>
      <c r="E121" s="44"/>
      <c r="F121" s="45"/>
      <c r="G121" s="46"/>
      <c r="H121" s="47"/>
      <c r="I121" s="48"/>
      <c r="J121" s="28"/>
    </row>
    <row r="122" ht="19" customHeight="1" spans="1:10">
      <c r="A122" s="1"/>
      <c r="B122" s="30"/>
      <c r="C122" s="43" t="s">
        <v>79</v>
      </c>
      <c r="D122" s="2">
        <v>3626</v>
      </c>
      <c r="E122" s="44"/>
      <c r="F122" s="45"/>
      <c r="G122" s="46"/>
      <c r="H122" s="47"/>
      <c r="I122" s="48"/>
      <c r="J122" s="28"/>
    </row>
    <row r="123" ht="19" customHeight="1" spans="1:10">
      <c r="A123" s="29" t="s">
        <v>94</v>
      </c>
      <c r="B123" s="30" t="s">
        <v>95</v>
      </c>
      <c r="C123" s="2">
        <v>5</v>
      </c>
      <c r="D123" s="25">
        <v>5000</v>
      </c>
      <c r="E123" s="44"/>
      <c r="F123" s="45"/>
      <c r="G123" s="46"/>
      <c r="H123" s="47"/>
      <c r="I123" s="48"/>
      <c r="J123" s="28"/>
    </row>
    <row r="124" ht="19" customHeight="1" spans="1:10">
      <c r="A124" s="1" t="s">
        <v>96</v>
      </c>
      <c r="B124" s="24" t="s">
        <v>97</v>
      </c>
      <c r="C124" s="2">
        <v>5</v>
      </c>
      <c r="D124" s="49">
        <v>2506</v>
      </c>
      <c r="E124" s="2" t="s">
        <v>98</v>
      </c>
      <c r="F124" s="2"/>
      <c r="G124" s="25" t="s">
        <v>99</v>
      </c>
      <c r="H124" s="25"/>
      <c r="I124" s="25"/>
      <c r="J124" s="2" t="s">
        <v>100</v>
      </c>
    </row>
    <row r="125" ht="19" customHeight="1" spans="1:10">
      <c r="A125" s="1"/>
      <c r="B125" s="28"/>
      <c r="C125" s="2">
        <v>6</v>
      </c>
      <c r="D125" s="49">
        <v>3206</v>
      </c>
      <c r="E125" s="2" t="s">
        <v>101</v>
      </c>
      <c r="F125" s="2"/>
      <c r="G125" s="25"/>
      <c r="H125" s="25"/>
      <c r="I125" s="25"/>
      <c r="J125" s="2"/>
    </row>
    <row r="126" ht="19" customHeight="1" spans="1:10">
      <c r="A126" s="1"/>
      <c r="B126" s="28"/>
      <c r="C126" s="2">
        <v>8</v>
      </c>
      <c r="D126" s="49">
        <v>4126</v>
      </c>
      <c r="E126" s="2" t="s">
        <v>102</v>
      </c>
      <c r="F126" s="2"/>
      <c r="G126" s="25"/>
      <c r="H126" s="25"/>
      <c r="I126" s="25"/>
      <c r="J126" s="2"/>
    </row>
    <row r="127" ht="19" customHeight="1" spans="1:10">
      <c r="A127" s="1"/>
      <c r="B127" s="30"/>
      <c r="C127" s="2">
        <v>10</v>
      </c>
      <c r="D127" s="49">
        <v>5035</v>
      </c>
      <c r="E127" s="2" t="s">
        <v>103</v>
      </c>
      <c r="F127" s="2"/>
      <c r="G127" s="25"/>
      <c r="H127" s="25"/>
      <c r="I127" s="25"/>
      <c r="J127" s="2"/>
    </row>
    <row r="128" ht="40" customHeight="1" spans="1:10">
      <c r="A128" s="50" t="s">
        <v>104</v>
      </c>
      <c r="B128" s="24" t="s">
        <v>97</v>
      </c>
      <c r="C128" s="2">
        <v>5</v>
      </c>
      <c r="D128" s="51">
        <f>7518*0.65</f>
        <v>4886.7</v>
      </c>
      <c r="E128" s="2" t="s">
        <v>98</v>
      </c>
      <c r="F128" s="2"/>
      <c r="G128" s="25" t="s">
        <v>105</v>
      </c>
      <c r="H128" s="25"/>
      <c r="I128" s="25"/>
      <c r="J128" s="2"/>
    </row>
    <row r="129" ht="40" customHeight="1" spans="1:10">
      <c r="A129" s="50"/>
      <c r="B129" s="28"/>
      <c r="C129" s="2">
        <v>6</v>
      </c>
      <c r="D129" s="51">
        <f>8168*0.65</f>
        <v>5309.2</v>
      </c>
      <c r="E129" s="2" t="s">
        <v>101</v>
      </c>
      <c r="F129" s="2"/>
      <c r="G129" s="25"/>
      <c r="H129" s="25"/>
      <c r="I129" s="25"/>
      <c r="J129" s="2"/>
    </row>
    <row r="130" ht="40" customHeight="1" spans="1:10">
      <c r="A130" s="50"/>
      <c r="B130" s="28"/>
      <c r="C130" s="2">
        <v>8</v>
      </c>
      <c r="D130" s="51">
        <f>8595*0.65</f>
        <v>5586.75</v>
      </c>
      <c r="E130" s="2" t="s">
        <v>102</v>
      </c>
      <c r="F130" s="2"/>
      <c r="G130" s="25"/>
      <c r="H130" s="25"/>
      <c r="I130" s="25"/>
      <c r="J130" s="2"/>
    </row>
    <row r="131" ht="40" customHeight="1" spans="1:10">
      <c r="A131" s="50"/>
      <c r="B131" s="30"/>
      <c r="C131" s="2">
        <v>10</v>
      </c>
      <c r="D131" s="51">
        <f>10748*0.65</f>
        <v>6986.2</v>
      </c>
      <c r="E131" s="2" t="s">
        <v>103</v>
      </c>
      <c r="F131" s="2"/>
      <c r="G131" s="25"/>
      <c r="H131" s="25"/>
      <c r="I131" s="25"/>
      <c r="J131" s="2"/>
    </row>
    <row r="132" ht="208" customHeight="1" spans="1:10">
      <c r="A132" s="52"/>
      <c r="B132" s="52"/>
      <c r="C132" s="52"/>
      <c r="D132" s="52"/>
      <c r="E132" s="52"/>
      <c r="F132" s="52"/>
      <c r="G132" s="52"/>
      <c r="H132" s="52"/>
      <c r="I132" s="52"/>
      <c r="J132" s="53"/>
    </row>
    <row r="133" ht="20.25" spans="1:10">
      <c r="A133" s="54" t="s">
        <v>106</v>
      </c>
      <c r="B133" s="54" t="s">
        <v>107</v>
      </c>
      <c r="C133" s="55"/>
      <c r="D133" s="56"/>
      <c r="E133" s="56"/>
      <c r="F133" s="55"/>
      <c r="G133" s="55"/>
      <c r="H133" s="56"/>
      <c r="I133" s="56"/>
      <c r="J133" s="57"/>
    </row>
    <row r="134" ht="20.25" spans="1:10">
      <c r="A134" s="26" t="s">
        <v>108</v>
      </c>
      <c r="B134" s="26" t="s">
        <v>109</v>
      </c>
      <c r="C134" s="55"/>
      <c r="D134" s="56"/>
      <c r="E134" s="56" t="s">
        <v>110</v>
      </c>
      <c r="F134" s="55"/>
      <c r="G134" s="55"/>
      <c r="H134" s="56"/>
      <c r="I134" s="56"/>
      <c r="J134" s="57"/>
    </row>
    <row r="135" ht="20.25" spans="1:10">
      <c r="A135" s="26" t="s">
        <v>111</v>
      </c>
      <c r="B135" s="26" t="s">
        <v>112</v>
      </c>
      <c r="C135" s="55"/>
      <c r="D135" s="56"/>
      <c r="E135" s="56"/>
      <c r="F135" s="55"/>
      <c r="G135" s="55"/>
      <c r="H135" s="56"/>
      <c r="I135" s="56"/>
      <c r="J135" s="57"/>
    </row>
    <row r="136" ht="20.25" spans="1:10">
      <c r="A136" s="26" t="s">
        <v>113</v>
      </c>
      <c r="B136" s="26" t="s">
        <v>114</v>
      </c>
      <c r="C136" s="55"/>
      <c r="D136" s="56"/>
      <c r="E136" s="56"/>
      <c r="F136" s="55"/>
      <c r="G136" s="55"/>
      <c r="H136" s="56"/>
      <c r="I136" s="56"/>
      <c r="J136" s="57"/>
    </row>
  </sheetData>
  <mergeCells count="71">
    <mergeCell ref="A1:J1"/>
    <mergeCell ref="B2:C2"/>
    <mergeCell ref="D2:E2"/>
    <mergeCell ref="A83:J83"/>
    <mergeCell ref="A84:J84"/>
    <mergeCell ref="A85:J85"/>
    <mergeCell ref="A86:J86"/>
    <mergeCell ref="A87:J87"/>
    <mergeCell ref="A88:J88"/>
    <mergeCell ref="A89:J89"/>
    <mergeCell ref="A90:J90"/>
    <mergeCell ref="A91:J91"/>
    <mergeCell ref="A92:J92"/>
    <mergeCell ref="A93:J93"/>
    <mergeCell ref="A94:J94"/>
    <mergeCell ref="A95:J95"/>
    <mergeCell ref="A96:J96"/>
    <mergeCell ref="A97:J97"/>
    <mergeCell ref="E98:F98"/>
    <mergeCell ref="G98:I98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A132:J132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4:A127"/>
    <mergeCell ref="A128:A131"/>
    <mergeCell ref="B99:B101"/>
    <mergeCell ref="B102:B104"/>
    <mergeCell ref="B105:B107"/>
    <mergeCell ref="B108:B110"/>
    <mergeCell ref="B111:B113"/>
    <mergeCell ref="B114:B116"/>
    <mergeCell ref="B117:B119"/>
    <mergeCell ref="B120:B122"/>
    <mergeCell ref="B124:B127"/>
    <mergeCell ref="B128:B131"/>
    <mergeCell ref="J8:J12"/>
    <mergeCell ref="J13:J17"/>
    <mergeCell ref="J18:J22"/>
    <mergeCell ref="J23:J27"/>
    <mergeCell ref="J28:J32"/>
    <mergeCell ref="J33:J37"/>
    <mergeCell ref="J38:J42"/>
    <mergeCell ref="J43:J47"/>
    <mergeCell ref="J48:J52"/>
    <mergeCell ref="J53:J57"/>
    <mergeCell ref="J58:J62"/>
    <mergeCell ref="J63:J67"/>
    <mergeCell ref="J68:J72"/>
    <mergeCell ref="J73:J77"/>
    <mergeCell ref="J78:J82"/>
    <mergeCell ref="J99:J116"/>
    <mergeCell ref="J124:J131"/>
    <mergeCell ref="M75:M78"/>
    <mergeCell ref="E99:F116"/>
    <mergeCell ref="G99:I116"/>
    <mergeCell ref="G124:I127"/>
    <mergeCell ref="G128:I131"/>
  </mergeCells>
  <printOptions horizontalCentered="1"/>
  <pageMargins left="0.196527777777778" right="0.196527777777778" top="0.196527777777778" bottom="0.196527777777778" header="0.5" footer="0.5"/>
  <pageSetup paperSize="9" scale="57" fitToHeight="0" orientation="landscape" horizontalDpi="600"/>
  <headerFooter/>
  <rowBreaks count="1" manualBreakCount="1">
    <brk id="96" max="9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7"/>
  <sheetViews>
    <sheetView workbookViewId="0">
      <selection activeCell="B1" sqref="B1:B7"/>
    </sheetView>
  </sheetViews>
  <sheetFormatPr defaultColWidth="9" defaultRowHeight="31" customHeight="1" outlineLevelRow="6" outlineLevelCol="1"/>
  <cols>
    <col min="2" max="2" width="24.75" customWidth="1"/>
  </cols>
  <sheetData>
    <row r="1" customHeight="1" spans="2:2">
      <c r="B1" s="1" t="s">
        <v>27</v>
      </c>
    </row>
    <row r="2" customHeight="1" spans="2:2">
      <c r="B2" s="1" t="s">
        <v>38</v>
      </c>
    </row>
    <row r="3" customHeight="1" spans="2:2">
      <c r="B3" s="2" t="s">
        <v>40</v>
      </c>
    </row>
    <row r="4" customHeight="1" spans="2:2">
      <c r="B4" s="3" t="s">
        <v>42</v>
      </c>
    </row>
    <row r="5" customHeight="1" spans="2:2">
      <c r="B5" s="4" t="s">
        <v>44</v>
      </c>
    </row>
    <row r="6" customHeight="1" spans="2:2">
      <c r="B6" s="4" t="s">
        <v>46</v>
      </c>
    </row>
    <row r="7" customHeight="1" spans="2:2">
      <c r="B7" s="5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衣柜投影</vt:lpstr>
      <vt:lpstr>厨柜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周献良</cp:lastModifiedBy>
  <dcterms:created xsi:type="dcterms:W3CDTF">2008-09-11T17:22:00Z</dcterms:created>
  <dcterms:modified xsi:type="dcterms:W3CDTF">2026-06-13T22:37:56Z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F363991E6C9948ECBFB3BEC34E58A07B_13</vt:lpwstr>
  </property>
  <property fmtid="{D5CDD505-2E9C-101B-9397-08002B2CF9AE}" pid="4" name="CalculationRule">
    <vt:i4>0</vt:i4>
  </property>
</Properties>
</file>