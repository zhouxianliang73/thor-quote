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2"/>
  </bookViews>
  <sheets>
    <sheet name="橱柜延米报价 " sheetId="5" r:id="rId1"/>
  </sheets>
  <definedNames>
    <definedName name="_xlnm.Print_Area" localSheetId="0">'橱柜延米报价 '!$A$1:$M$55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<sst xmlns="http://schemas.openxmlformats.org/spreadsheetml/2006/main" count="150" uniqueCount="77">
  <si>
    <t>报价表</t>
  </si>
  <si>
    <t>报价日期：</t>
  </si>
  <si>
    <t>报价人员：</t>
  </si>
  <si>
    <t>电话：</t>
  </si>
  <si>
    <t>下单店面：</t>
  </si>
  <si>
    <t>客户姓名：</t>
  </si>
  <si>
    <t>订单号：</t>
  </si>
  <si>
    <t>客户地址：</t>
  </si>
  <si>
    <t>联系电话：</t>
  </si>
  <si>
    <t>客户电话：</t>
  </si>
  <si>
    <t>类别</t>
  </si>
  <si>
    <t>序号</t>
  </si>
  <si>
    <t>名称</t>
  </si>
  <si>
    <t>THOR编码</t>
  </si>
  <si>
    <t>尺寸（宽*高*深）</t>
  </si>
  <si>
    <t>数量</t>
  </si>
  <si>
    <t>单位</t>
  </si>
  <si>
    <t>非标系数</t>
  </si>
  <si>
    <t>门板系列</t>
  </si>
  <si>
    <t>单价</t>
  </si>
  <si>
    <t>金额</t>
  </si>
  <si>
    <t>柜体</t>
  </si>
  <si>
    <t>洗手盘地柜</t>
  </si>
  <si>
    <t>地柜</t>
  </si>
  <si>
    <t>灶台吊柜</t>
  </si>
  <si>
    <t>吊柜</t>
  </si>
  <si>
    <t>高柜</t>
  </si>
  <si>
    <t>上翻门吊柜</t>
  </si>
  <si>
    <t>地柜小计：￥</t>
  </si>
  <si>
    <t>台面花色</t>
  </si>
  <si>
    <t>台面</t>
  </si>
  <si>
    <t>SUS304不锈钢台面</t>
  </si>
  <si>
    <t>台面小计：￥</t>
  </si>
  <si>
    <t>平方</t>
  </si>
  <si>
    <t>见光板</t>
  </si>
  <si>
    <t>地柜见光板</t>
  </si>
  <si>
    <t>A立面</t>
  </si>
  <si>
    <t>C立面</t>
  </si>
  <si>
    <t>吊柜见光板</t>
  </si>
  <si>
    <t>D立面</t>
  </si>
  <si>
    <t>见光板小计：￥</t>
  </si>
  <si>
    <t>产品型号</t>
  </si>
  <si>
    <t>地脚线/顶封板</t>
  </si>
  <si>
    <t>不锈钢地脚线</t>
  </si>
  <si>
    <t>不锈钢顶封板</t>
  </si>
  <si>
    <t>增加项目小计：￥</t>
  </si>
  <si>
    <t>功能配件</t>
  </si>
  <si>
    <t>希勒3.0三边平篮800</t>
  </si>
  <si>
    <t xml:space="preserve">     </t>
  </si>
  <si>
    <t>希勒3.0三边碗碟篮800</t>
  </si>
  <si>
    <t>宜达适胶头反弹器暗装款</t>
  </si>
  <si>
    <t>百隆小精灵支撑中型</t>
  </si>
  <si>
    <t>功能配件小计：￥</t>
  </si>
  <si>
    <t>水槽/龙头</t>
  </si>
  <si>
    <t>手工单槽</t>
  </si>
  <si>
    <t>抽拉龙头</t>
  </si>
  <si>
    <t>水槽龙头小计：￥</t>
  </si>
  <si>
    <t>电器</t>
  </si>
  <si>
    <t>嵌入式蒸烤一体机</t>
  </si>
  <si>
    <t>增加项目</t>
  </si>
  <si>
    <t>灶炉开槽费</t>
  </si>
  <si>
    <t>合计金额</t>
  </si>
  <si>
    <t>人民币大写</t>
  </si>
  <si>
    <t>人民币小写</t>
  </si>
  <si>
    <t>工厂直供折扣</t>
  </si>
  <si>
    <t>折后价格大写</t>
  </si>
  <si>
    <t>客户签字回传：</t>
  </si>
  <si>
    <t>财务确认签字：</t>
  </si>
  <si>
    <t>时间：</t>
  </si>
  <si>
    <t>注：1）如设计图有变更，以新设计图的报价为准。
    2）下单生产前，请支付全部货款；交货期从货款到账次日起计。
    3）购货方提供图纸交货安装时尺寸与客户要求不符，所需要改补费用由购货方。
    4）由供货方量尺，出图，交货安装时尺寸与客户要求不符，责任由供货方承担。
    5）购货方在收到货物后必须检查货物是否完整无损，否则由此引起的一切损失由购货方自行承担。
    6）收到报价单后确认无问题请及时签字回传。</t>
  </si>
  <si>
    <t>本报价表为初步报价,具体价格依据细化方案后为准,且此次价格有效期为30天;</t>
  </si>
  <si>
    <t>总公司：</t>
  </si>
  <si>
    <t>索而智能家居有限公司</t>
  </si>
  <si>
    <t>电  话：</t>
  </si>
  <si>
    <t>总部地址：</t>
  </si>
  <si>
    <t>东莞市洪梅镇海新路2号</t>
  </si>
  <si>
    <t>传  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</si>
</sst>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 "/>
    <numFmt numFmtId="178" formatCode="0.0_ "/>
    <numFmt numFmtId="179" formatCode="0_ "/>
    <numFmt numFmtId="180" formatCode="0;[Red]0"/>
    <numFmt numFmtId="181" formatCode="[DBNum2][$RMB]General;[Red][DBNum2][$RMB]General&quot;元&quot;&quot;整&quot;"/>
  </numFmts>
  <fonts count="31">
    <font>
      <sz val="11"/>
      <color theme="1"/>
      <name val="宋体"/>
      <charset val="134"/>
      <scheme val="minor"/>
    </font>
    <font>
      <sz val="14"/>
      <color rgb="FF000000"/>
      <name val="宋体"/>
      <charset val="204"/>
    </font>
    <font>
      <b/>
      <sz val="14"/>
      <name val="宋体"/>
      <charset val="204"/>
    </font>
    <font>
      <b/>
      <sz val="14"/>
      <color rgb="FF000000"/>
      <name val="宋体"/>
      <charset val="204"/>
    </font>
    <font>
      <sz val="14"/>
      <name val="宋体"/>
      <charset val="134"/>
    </font>
    <font>
      <sz val="14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i/>
      <sz val="12"/>
      <color rgb="FF000000"/>
      <name val="宋体"/>
      <charset val="134"/>
    </font>
    <font>
      <sz val="14"/>
      <color rgb="FFFF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5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6" fillId="0" borderId="0"/>
  </cellStyleXfs>
  <cellXfs count="7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shrinkToFit="1"/>
    </xf>
    <xf numFmtId="176" fontId="5" fillId="0" borderId="3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shrinkToFit="1"/>
    </xf>
    <xf numFmtId="0" fontId="5" fillId="0" borderId="1" xfId="0" applyNumberFormat="1" applyFont="1" applyFill="1" applyBorder="1" applyAlignment="1">
      <alignment horizontal="center" vertical="center" shrinkToFit="1"/>
    </xf>
    <xf numFmtId="178" fontId="8" fillId="0" borderId="1" xfId="0" applyNumberFormat="1" applyFont="1" applyFill="1" applyBorder="1" applyAlignment="1">
      <alignment horizontal="center" vertical="center" shrinkToFit="1"/>
    </xf>
    <xf numFmtId="1" fontId="9" fillId="0" borderId="1" xfId="0" applyNumberFormat="1" applyFont="1" applyFill="1" applyBorder="1" applyAlignment="1">
      <alignment horizontal="center" vertical="center" shrinkToFit="1"/>
    </xf>
    <xf numFmtId="0" fontId="5" fillId="0" borderId="0" xfId="0" applyNumberFormat="1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179" fontId="10" fillId="3" borderId="1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80" fontId="4" fillId="4" borderId="1" xfId="0" applyNumberFormat="1" applyFont="1" applyFill="1" applyBorder="1" applyAlignment="1">
      <alignment horizontal="center" vertical="center" shrinkToFit="1"/>
    </xf>
    <xf numFmtId="1" fontId="5" fillId="4" borderId="1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right" vertical="center" wrapText="1"/>
    </xf>
    <xf numFmtId="180" fontId="10" fillId="3" borderId="1" xfId="0" applyNumberFormat="1" applyFont="1" applyFill="1" applyBorder="1" applyAlignment="1">
      <alignment horizontal="center" vertical="center" shrinkToFit="1"/>
    </xf>
    <xf numFmtId="1" fontId="8" fillId="0" borderId="1" xfId="0" applyNumberFormat="1" applyFont="1" applyFill="1" applyBorder="1" applyAlignment="1">
      <alignment horizontal="center" vertical="center" shrinkToFit="1"/>
    </xf>
    <xf numFmtId="0" fontId="8" fillId="0" borderId="1" xfId="0" applyNumberFormat="1" applyFont="1" applyFill="1" applyBorder="1" applyAlignment="1">
      <alignment horizontal="center" vertical="center" shrinkToFit="1"/>
    </xf>
    <xf numFmtId="177" fontId="4" fillId="0" borderId="6" xfId="49" applyNumberFormat="1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179" fontId="8" fillId="0" borderId="1" xfId="0" applyNumberFormat="1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7" xfId="0" applyNumberFormat="1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>
      <alignment horizontal="center" vertical="center" shrinkToFit="1"/>
    </xf>
    <xf numFmtId="1" fontId="11" fillId="0" borderId="1" xfId="0" applyNumberFormat="1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wrapText="1"/>
    </xf>
    <xf numFmtId="1" fontId="5" fillId="0" borderId="8" xfId="0" applyNumberFormat="1" applyFont="1" applyFill="1" applyBorder="1" applyAlignment="1">
      <alignment horizontal="right" vertical="center" shrinkToFit="1"/>
    </xf>
    <xf numFmtId="1" fontId="5" fillId="0" borderId="9" xfId="0" applyNumberFormat="1" applyFont="1" applyFill="1" applyBorder="1" applyAlignment="1">
      <alignment horizontal="right" vertical="center" shrinkToFit="1"/>
    </xf>
    <xf numFmtId="1" fontId="5" fillId="0" borderId="10" xfId="0" applyNumberFormat="1" applyFont="1" applyFill="1" applyBorder="1" applyAlignment="1">
      <alignment horizontal="right" vertical="center" shrinkToFit="1"/>
    </xf>
    <xf numFmtId="179" fontId="10" fillId="3" borderId="4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left" vertical="top"/>
    </xf>
    <xf numFmtId="0" fontId="6" fillId="0" borderId="7" xfId="0" applyFont="1" applyFill="1" applyBorder="1" applyAlignment="1">
      <alignment vertical="center" wrapText="1"/>
    </xf>
    <xf numFmtId="1" fontId="4" fillId="0" borderId="7" xfId="0" applyNumberFormat="1" applyFont="1" applyFill="1" applyBorder="1" applyAlignment="1">
      <alignment horizontal="center" vertical="center" shrinkToFit="1"/>
    </xf>
    <xf numFmtId="1" fontId="4" fillId="0" borderId="3" xfId="0" applyNumberFormat="1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81" fontId="4" fillId="5" borderId="1" xfId="0" applyNumberFormat="1" applyFont="1" applyFill="1" applyBorder="1" applyAlignment="1">
      <alignment horizontal="center" vertical="center" wrapText="1"/>
    </xf>
    <xf numFmtId="181" fontId="4" fillId="5" borderId="2" xfId="0" applyNumberFormat="1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left" vertical="top"/>
    </xf>
    <xf numFmtId="181" fontId="4" fillId="5" borderId="7" xfId="0" applyNumberFormat="1" applyFont="1" applyFill="1" applyBorder="1" applyAlignment="1">
      <alignment horizontal="center" vertical="center" wrapText="1"/>
    </xf>
    <xf numFmtId="179" fontId="4" fillId="5" borderId="2" xfId="0" applyNumberFormat="1" applyFont="1" applyFill="1" applyBorder="1" applyAlignment="1">
      <alignment horizontal="center" vertical="center" wrapText="1"/>
    </xf>
    <xf numFmtId="179" fontId="4" fillId="5" borderId="7" xfId="0" applyNumberFormat="1" applyFont="1" applyFill="1" applyBorder="1" applyAlignment="1">
      <alignment horizontal="center" vertical="center" wrapText="1"/>
    </xf>
    <xf numFmtId="179" fontId="4" fillId="5" borderId="3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按平方报价模板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45085</xdr:colOff>
      <xdr:row>0</xdr:row>
      <xdr:rowOff>76200</xdr:rowOff>
    </xdr:from>
    <xdr:to>
      <xdr:col>2</xdr:col>
      <xdr:colOff>845185</xdr:colOff>
      <xdr:row>0</xdr:row>
      <xdr:rowOff>505460</xdr:rowOff>
    </xdr:to>
    <xdr:pic>
      <xdr:nvPicPr>
        <xdr:cNvPr id="2" name="图片 1" descr="微信图片_202111051414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85" y="76200"/>
          <a:ext cx="3106420" cy="429260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</xdr:colOff>
      <xdr:row>0</xdr:row>
      <xdr:rowOff>76200</xdr:rowOff>
    </xdr:from>
    <xdr:to>
      <xdr:col>2</xdr:col>
      <xdr:colOff>845185</xdr:colOff>
      <xdr:row>0</xdr:row>
      <xdr:rowOff>505460</xdr:rowOff>
    </xdr:to>
    <xdr:pic>
      <xdr:nvPicPr>
        <xdr:cNvPr id="3" name="图片 2" descr="微信图片_202111051414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85" y="76200"/>
          <a:ext cx="3106420" cy="429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56"/>
  <sheetViews>
    <sheetView tabSelected="1" zoomScale="85" zoomScaleNormal="85" zoomScaleSheetLayoutView="115" workbookViewId="0">
      <selection activeCell="B3" sqref="B3:E3"/>
    </sheetView>
  </sheetViews>
  <sheetFormatPr defaultColWidth="9" defaultRowHeight="18.75"/>
  <cols>
    <col min="1" max="1" width="21.825" style="1" customWidth="1"/>
    <col min="2" max="2" width="8.44166666666667" style="1" customWidth="1"/>
    <col min="3" max="3" width="29.2583333333333" style="1" customWidth="1"/>
    <col min="4" max="4" width="24.2416666666667" style="1" customWidth="1"/>
    <col min="5" max="6" width="10.825" style="1" customWidth="1"/>
    <col min="7" max="7" width="14" style="1" customWidth="1"/>
    <col min="8" max="9" width="10.825" style="1" customWidth="1"/>
    <col min="10" max="11" width="13.825" style="1" customWidth="1"/>
    <col min="12" max="13" width="10.825" style="1" customWidth="1"/>
    <col min="14" max="23" width="12.825" style="1" customWidth="1"/>
    <col min="24" max="16384" width="9" style="1"/>
  </cols>
  <sheetData>
    <row r="1" s="1" customFormat="1" ht="41.1" customHeight="1" spans="1:18">
      <c r="A1" s="3"/>
      <c r="B1" s="3"/>
      <c r="C1" s="3"/>
      <c r="D1" s="3"/>
      <c r="E1" s="3"/>
      <c r="F1" s="3"/>
      <c r="G1" s="3"/>
      <c r="H1" s="3"/>
      <c r="I1" s="3"/>
      <c r="J1" s="4" t="s">
        <v>0</v>
      </c>
      <c r="K1" s="4"/>
      <c r="L1" s="5"/>
      <c r="M1" s="5"/>
    </row>
    <row r="2" s="1" customFormat="1" ht="25" customHeight="1" spans="1:18">
      <c r="A2" s="6" t="s">
        <v>1</v>
      </c>
      <c r="B2" s="6"/>
      <c r="C2" s="7">
        <f ca="1">TODAY()</f>
        <v>46187</v>
      </c>
      <c r="D2" s="8"/>
      <c r="E2" s="6" t="s">
        <v>2</v>
      </c>
      <c r="F2" s="6"/>
      <c r="G2" s="6"/>
      <c r="H2" s="6" t="s">
        <v>3</v>
      </c>
      <c r="I2" s="6"/>
      <c r="J2" s="9"/>
      <c r="K2" s="9"/>
      <c r="L2" s="9"/>
      <c r="M2" s="9"/>
    </row>
    <row r="3" s="1" customFormat="1" ht="25" customHeight="1" spans="1:18">
      <c r="A3" s="10" t="s">
        <v>4</v>
      </c>
      <c r="B3" s="11"/>
      <c r="C3" s="12"/>
      <c r="D3" s="12"/>
      <c r="E3" s="12"/>
      <c r="F3" s="11" t="s">
        <v>5</v>
      </c>
      <c r="G3" s="11"/>
      <c r="H3" s="11"/>
      <c r="I3" s="11"/>
      <c r="J3" s="12"/>
      <c r="K3" s="12"/>
      <c r="L3" s="12"/>
      <c r="M3" s="12"/>
    </row>
    <row r="4" s="1" customFormat="1" ht="25" customHeight="1" spans="1:18">
      <c r="A4" s="10" t="s">
        <v>6</v>
      </c>
      <c r="B4" s="11"/>
      <c r="C4" s="12"/>
      <c r="D4" s="12"/>
      <c r="E4" s="12"/>
      <c r="F4" s="10" t="s">
        <v>7</v>
      </c>
      <c r="G4" s="10"/>
      <c r="H4" s="10"/>
      <c r="I4" s="10"/>
      <c r="J4" s="10"/>
      <c r="K4" s="10"/>
      <c r="L4" s="10"/>
      <c r="M4" s="10"/>
    </row>
    <row r="5" s="1" customFormat="1" ht="25" customHeight="1" spans="1:18">
      <c r="A5" s="10" t="s">
        <v>8</v>
      </c>
      <c r="B5" s="12"/>
      <c r="C5" s="12"/>
      <c r="D5" s="12"/>
      <c r="E5" s="12"/>
      <c r="F5" s="10" t="s">
        <v>9</v>
      </c>
      <c r="G5" s="10"/>
      <c r="H5" s="12"/>
      <c r="I5" s="12"/>
      <c r="J5" s="12"/>
      <c r="K5" s="12"/>
      <c r="L5" s="12"/>
      <c r="M5" s="12"/>
    </row>
    <row r="6" s="1" customFormat="1" ht="25" customHeight="1" spans="1:18">
      <c r="A6" s="10" t="s">
        <v>10</v>
      </c>
      <c r="B6" s="10" t="s">
        <v>11</v>
      </c>
      <c r="C6" s="10" t="s">
        <v>12</v>
      </c>
      <c r="D6" s="10" t="s">
        <v>13</v>
      </c>
      <c r="E6" s="10" t="s">
        <v>14</v>
      </c>
      <c r="F6" s="10"/>
      <c r="G6" s="10"/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7" s="1" customFormat="1" ht="25" customHeight="1" spans="1:18">
      <c r="A7" s="13" t="s">
        <v>21</v>
      </c>
      <c r="B7" s="14">
        <v>1</v>
      </c>
      <c r="C7" s="15" t="s">
        <v>22</v>
      </c>
      <c r="D7" s="15"/>
      <c r="E7" s="16"/>
      <c r="F7" s="16"/>
      <c r="G7" s="16"/>
      <c r="H7" s="17"/>
      <c r="I7" s="18"/>
      <c r="J7" s="19"/>
      <c r="K7" s="6"/>
      <c r="L7" s="20"/>
      <c r="M7" s="14"/>
      <c r="O7" s="21"/>
      <c r="P7" s="21"/>
      <c r="Q7" s="21"/>
    </row>
    <row r="8" s="1" customFormat="1" ht="25" customHeight="1" spans="1:18">
      <c r="A8" s="22"/>
      <c r="B8" s="14">
        <v>2</v>
      </c>
      <c r="C8" s="15" t="s">
        <v>23</v>
      </c>
      <c r="D8" s="15"/>
      <c r="E8" s="16"/>
      <c r="F8" s="16"/>
      <c r="G8" s="16"/>
      <c r="H8" s="18"/>
      <c r="I8" s="18"/>
      <c r="J8" s="19"/>
      <c r="K8" s="6"/>
      <c r="L8" s="20"/>
      <c r="M8" s="14"/>
      <c r="O8" s="21"/>
      <c r="P8" s="21"/>
      <c r="Q8" s="21"/>
    </row>
    <row r="9" s="1" customFormat="1" ht="25" customHeight="1" spans="1:18">
      <c r="A9" s="22"/>
      <c r="B9" s="14">
        <v>3</v>
      </c>
      <c r="C9" s="15" t="s">
        <v>24</v>
      </c>
      <c r="D9" s="15"/>
      <c r="E9" s="16"/>
      <c r="F9" s="16"/>
      <c r="G9" s="16"/>
      <c r="H9" s="18"/>
      <c r="I9" s="18"/>
      <c r="J9" s="19"/>
      <c r="K9" s="6"/>
      <c r="L9" s="20"/>
      <c r="M9" s="14"/>
      <c r="O9" s="21"/>
      <c r="P9" s="21"/>
      <c r="Q9" s="21"/>
    </row>
    <row r="10" s="1" customFormat="1" ht="25" customHeight="1" spans="1:18">
      <c r="A10" s="22"/>
      <c r="B10" s="14">
        <v>4</v>
      </c>
      <c r="C10" s="15" t="s">
        <v>25</v>
      </c>
      <c r="D10" s="15"/>
      <c r="E10" s="16"/>
      <c r="F10" s="16"/>
      <c r="G10" s="16"/>
      <c r="H10" s="18"/>
      <c r="I10" s="18"/>
      <c r="J10" s="19"/>
      <c r="K10" s="6"/>
      <c r="L10" s="20"/>
      <c r="M10" s="14"/>
      <c r="O10" s="21"/>
      <c r="P10" s="21"/>
      <c r="Q10" s="21"/>
    </row>
    <row r="11" s="1" customFormat="1" spans="1:18">
      <c r="A11" s="22"/>
      <c r="B11" s="14">
        <v>5</v>
      </c>
      <c r="C11" s="15" t="s">
        <v>26</v>
      </c>
      <c r="D11" s="15"/>
      <c r="E11" s="16"/>
      <c r="F11" s="16"/>
      <c r="G11" s="16"/>
      <c r="H11" s="17"/>
      <c r="I11" s="18"/>
      <c r="J11" s="19"/>
      <c r="K11" s="6"/>
      <c r="L11" s="20"/>
      <c r="M11" s="14"/>
      <c r="O11" s="21"/>
      <c r="P11" s="21"/>
      <c r="Q11" s="21"/>
    </row>
    <row r="12" s="1" customFormat="1" spans="1:18">
      <c r="A12" s="22"/>
      <c r="B12" s="14">
        <v>6</v>
      </c>
      <c r="C12" s="15" t="s">
        <v>27</v>
      </c>
      <c r="D12" s="15"/>
      <c r="E12" s="16"/>
      <c r="F12" s="16"/>
      <c r="G12" s="16"/>
      <c r="H12" s="17"/>
      <c r="I12" s="18"/>
      <c r="J12" s="19"/>
      <c r="K12" s="6"/>
      <c r="L12" s="20"/>
      <c r="M12" s="14"/>
      <c r="O12" s="21"/>
      <c r="P12" s="21"/>
      <c r="Q12" s="21"/>
    </row>
    <row r="13" s="1" customFormat="1" ht="25" customHeight="1" spans="1:18">
      <c r="A13" s="22"/>
      <c r="B13" s="23" t="s">
        <v>28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>
        <f>SUM(M7:M12)</f>
        <v>0</v>
      </c>
      <c r="O13" s="21"/>
      <c r="P13" s="21"/>
      <c r="R13" s="21"/>
    </row>
    <row r="14" s="1" customFormat="1" ht="25" customHeight="1" spans="1:18">
      <c r="A14" s="10" t="s">
        <v>10</v>
      </c>
      <c r="B14" s="10" t="s">
        <v>11</v>
      </c>
      <c r="C14" s="10" t="s">
        <v>12</v>
      </c>
      <c r="D14" s="10" t="s">
        <v>13</v>
      </c>
      <c r="E14" s="10" t="s">
        <v>14</v>
      </c>
      <c r="F14" s="10"/>
      <c r="G14" s="10"/>
      <c r="H14" s="25" t="s">
        <v>15</v>
      </c>
      <c r="I14" s="25" t="s">
        <v>16</v>
      </c>
      <c r="J14" s="10" t="s">
        <v>17</v>
      </c>
      <c r="K14" s="10" t="s">
        <v>29</v>
      </c>
      <c r="L14" s="10" t="s">
        <v>19</v>
      </c>
      <c r="M14" s="10" t="s">
        <v>20</v>
      </c>
      <c r="P14" s="21"/>
    </row>
    <row r="15" s="1" customFormat="1" ht="25" customHeight="1" spans="1:18">
      <c r="A15" s="6" t="s">
        <v>30</v>
      </c>
      <c r="B15" s="26">
        <v>1</v>
      </c>
      <c r="C15" s="6" t="s">
        <v>31</v>
      </c>
      <c r="D15" s="27"/>
      <c r="E15" s="16"/>
      <c r="F15" s="16"/>
      <c r="G15" s="16"/>
      <c r="H15" s="17"/>
      <c r="I15" s="28"/>
      <c r="J15" s="29"/>
      <c r="K15" s="29"/>
      <c r="L15" s="30"/>
      <c r="M15" s="31"/>
      <c r="P15" s="21"/>
    </row>
    <row r="16" s="1" customFormat="1" ht="25" customHeight="1" spans="1:18">
      <c r="A16" s="6"/>
      <c r="B16" s="32" t="s">
        <v>32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3">
        <f>SUM(M15:M15)</f>
        <v>0</v>
      </c>
    </row>
    <row r="17" s="1" customFormat="1" ht="25" customHeight="1" spans="1:16">
      <c r="A17" s="10" t="s">
        <v>10</v>
      </c>
      <c r="B17" s="10" t="s">
        <v>11</v>
      </c>
      <c r="C17" s="10" t="s">
        <v>12</v>
      </c>
      <c r="D17" s="10" t="s">
        <v>13</v>
      </c>
      <c r="E17" s="10" t="s">
        <v>14</v>
      </c>
      <c r="F17" s="10"/>
      <c r="G17" s="10"/>
      <c r="H17" s="10" t="s">
        <v>15</v>
      </c>
      <c r="I17" s="10" t="s">
        <v>16</v>
      </c>
      <c r="J17" s="10" t="s">
        <v>33</v>
      </c>
      <c r="K17" s="10" t="s">
        <v>18</v>
      </c>
      <c r="L17" s="10" t="s">
        <v>19</v>
      </c>
      <c r="M17" s="10" t="s">
        <v>20</v>
      </c>
      <c r="O17" s="21"/>
      <c r="P17" s="21"/>
    </row>
    <row r="18" s="1" customFormat="1" ht="25" customHeight="1" spans="1:16">
      <c r="A18" s="13" t="s">
        <v>34</v>
      </c>
      <c r="B18" s="34">
        <v>1</v>
      </c>
      <c r="C18" s="15" t="s">
        <v>35</v>
      </c>
      <c r="D18" s="15" t="s">
        <v>36</v>
      </c>
      <c r="E18" s="15"/>
      <c r="F18" s="15"/>
      <c r="G18" s="15"/>
      <c r="H18" s="35"/>
      <c r="I18" s="35"/>
      <c r="J18" s="36"/>
      <c r="K18" s="6"/>
      <c r="L18" s="34"/>
      <c r="M18" s="34"/>
      <c r="O18" s="21"/>
      <c r="P18" s="21"/>
    </row>
    <row r="19" s="1" customFormat="1" ht="25" customHeight="1" spans="1:16">
      <c r="A19" s="22"/>
      <c r="B19" s="34">
        <v>2</v>
      </c>
      <c r="C19" s="15" t="s">
        <v>35</v>
      </c>
      <c r="D19" s="15" t="s">
        <v>37</v>
      </c>
      <c r="E19" s="15"/>
      <c r="F19" s="15"/>
      <c r="G19" s="15"/>
      <c r="H19" s="35"/>
      <c r="I19" s="35"/>
      <c r="J19" s="36"/>
      <c r="K19" s="6"/>
      <c r="L19" s="34"/>
      <c r="M19" s="34"/>
      <c r="O19" s="21"/>
      <c r="P19" s="21"/>
    </row>
    <row r="20" s="1" customFormat="1" ht="25" customHeight="1" spans="1:16">
      <c r="A20" s="22"/>
      <c r="B20" s="34">
        <v>3</v>
      </c>
      <c r="C20" s="15" t="s">
        <v>38</v>
      </c>
      <c r="D20" s="15" t="s">
        <v>39</v>
      </c>
      <c r="E20" s="15"/>
      <c r="F20" s="15"/>
      <c r="G20" s="15"/>
      <c r="H20" s="35"/>
      <c r="I20" s="35"/>
      <c r="J20" s="36"/>
      <c r="K20" s="6"/>
      <c r="L20" s="34"/>
      <c r="M20" s="34"/>
      <c r="O20" s="21"/>
      <c r="P20" s="21"/>
    </row>
    <row r="21" s="1" customFormat="1" ht="25" customHeight="1" spans="1:16">
      <c r="A21" s="22"/>
      <c r="B21" s="34">
        <v>4</v>
      </c>
      <c r="C21" s="15" t="s">
        <v>38</v>
      </c>
      <c r="D21" s="15" t="s">
        <v>37</v>
      </c>
      <c r="E21" s="15"/>
      <c r="F21" s="15"/>
      <c r="G21" s="15"/>
      <c r="H21" s="35"/>
      <c r="I21" s="35"/>
      <c r="J21" s="36"/>
      <c r="K21" s="6"/>
      <c r="L21" s="34"/>
      <c r="M21" s="34"/>
      <c r="O21" s="21"/>
      <c r="P21" s="21"/>
    </row>
    <row r="22" s="1" customFormat="1" ht="25" customHeight="1" spans="1:16">
      <c r="A22" s="22"/>
      <c r="B22" s="34">
        <v>5</v>
      </c>
      <c r="C22" s="15" t="s">
        <v>38</v>
      </c>
      <c r="D22" s="15" t="s">
        <v>37</v>
      </c>
      <c r="E22" s="15"/>
      <c r="F22" s="15"/>
      <c r="G22" s="15"/>
      <c r="H22" s="35"/>
      <c r="I22" s="35"/>
      <c r="J22" s="36"/>
      <c r="K22" s="6"/>
      <c r="L22" s="34"/>
      <c r="M22" s="34"/>
      <c r="O22" s="21"/>
      <c r="P22" s="21"/>
    </row>
    <row r="23" s="1" customFormat="1" ht="25" customHeight="1" spans="1:16">
      <c r="A23" s="22"/>
      <c r="B23" s="23" t="s">
        <v>40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3">
        <f>SUM(M18:M22)</f>
        <v>0</v>
      </c>
      <c r="O23" s="21"/>
      <c r="P23" s="21"/>
    </row>
    <row r="24" s="1" customFormat="1" ht="25" customHeight="1" spans="1:16">
      <c r="A24" s="10" t="s">
        <v>10</v>
      </c>
      <c r="B24" s="10" t="s">
        <v>11</v>
      </c>
      <c r="C24" s="10" t="s">
        <v>12</v>
      </c>
      <c r="D24" s="10" t="s">
        <v>13</v>
      </c>
      <c r="E24" s="37" t="s">
        <v>41</v>
      </c>
      <c r="F24" s="38"/>
      <c r="G24" s="25"/>
      <c r="H24" s="37" t="s">
        <v>15</v>
      </c>
      <c r="I24" s="25"/>
      <c r="J24" s="10" t="s">
        <v>16</v>
      </c>
      <c r="K24" s="37" t="s">
        <v>19</v>
      </c>
      <c r="L24" s="39"/>
      <c r="M24" s="10" t="s">
        <v>20</v>
      </c>
    </row>
    <row r="25" s="1" customFormat="1" ht="25" customHeight="1" spans="1:16">
      <c r="A25" s="13" t="s">
        <v>42</v>
      </c>
      <c r="B25" s="14">
        <v>1</v>
      </c>
      <c r="C25" s="6" t="s">
        <v>43</v>
      </c>
      <c r="D25" s="27"/>
      <c r="E25" s="6"/>
      <c r="F25" s="6"/>
      <c r="G25" s="6"/>
      <c r="H25" s="40"/>
      <c r="I25" s="41"/>
      <c r="J25" s="6"/>
      <c r="K25" s="42"/>
      <c r="L25" s="43"/>
      <c r="M25" s="31"/>
    </row>
    <row r="26" s="1" customFormat="1" ht="25" customHeight="1" spans="1:16">
      <c r="A26" s="22"/>
      <c r="B26" s="14">
        <v>2</v>
      </c>
      <c r="C26" s="6" t="s">
        <v>44</v>
      </c>
      <c r="D26" s="27"/>
      <c r="E26" s="6"/>
      <c r="F26" s="6"/>
      <c r="G26" s="6"/>
      <c r="H26" s="40"/>
      <c r="I26" s="41"/>
      <c r="J26" s="6"/>
      <c r="K26" s="42"/>
      <c r="L26" s="43"/>
      <c r="M26" s="31"/>
    </row>
    <row r="27" s="1" customFormat="1" ht="25" customHeight="1" spans="1:16">
      <c r="A27" s="22"/>
      <c r="B27" s="23" t="s">
        <v>45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33">
        <f>SUM(M25:M26)</f>
        <v>0</v>
      </c>
    </row>
    <row r="28" s="1" customFormat="1" ht="25" customHeight="1" spans="1:16">
      <c r="A28" s="10" t="s">
        <v>10</v>
      </c>
      <c r="B28" s="10" t="s">
        <v>11</v>
      </c>
      <c r="C28" s="10" t="s">
        <v>12</v>
      </c>
      <c r="D28" s="10" t="s">
        <v>13</v>
      </c>
      <c r="E28" s="37" t="s">
        <v>41</v>
      </c>
      <c r="F28" s="38"/>
      <c r="G28" s="25"/>
      <c r="H28" s="37" t="s">
        <v>15</v>
      </c>
      <c r="I28" s="25"/>
      <c r="J28" s="10" t="s">
        <v>16</v>
      </c>
      <c r="K28" s="38" t="s">
        <v>19</v>
      </c>
      <c r="L28" s="25"/>
      <c r="M28" s="10" t="s">
        <v>20</v>
      </c>
      <c r="O28" s="21"/>
      <c r="P28" s="21"/>
    </row>
    <row r="29" s="1" customFormat="1" ht="28" customHeight="1" spans="1:16">
      <c r="A29" s="13" t="s">
        <v>46</v>
      </c>
      <c r="B29" s="14">
        <v>1</v>
      </c>
      <c r="C29" s="44" t="s">
        <v>47</v>
      </c>
      <c r="D29" s="45"/>
      <c r="E29" s="15"/>
      <c r="F29" s="15"/>
      <c r="G29" s="15"/>
      <c r="H29" s="46"/>
      <c r="I29" s="47"/>
      <c r="J29" s="6"/>
      <c r="K29" s="48"/>
      <c r="L29" s="49"/>
      <c r="M29" s="50"/>
      <c r="N29" s="1" t="s">
        <v>48</v>
      </c>
      <c r="P29" s="21"/>
    </row>
    <row r="30" s="1" customFormat="1" ht="25" customHeight="1" spans="1:16">
      <c r="A30" s="22"/>
      <c r="B30" s="14">
        <v>2</v>
      </c>
      <c r="C30" s="44" t="s">
        <v>49</v>
      </c>
      <c r="D30" s="45"/>
      <c r="E30" s="15"/>
      <c r="F30" s="15"/>
      <c r="G30" s="15"/>
      <c r="H30" s="46"/>
      <c r="I30" s="47"/>
      <c r="J30" s="6"/>
      <c r="K30" s="48"/>
      <c r="L30" s="49"/>
      <c r="M30" s="50"/>
      <c r="P30" s="21"/>
    </row>
    <row r="31" s="1" customFormat="1" ht="25" customHeight="1" spans="1:16">
      <c r="A31" s="22"/>
      <c r="B31" s="14">
        <v>3</v>
      </c>
      <c r="C31" s="44" t="s">
        <v>50</v>
      </c>
      <c r="D31" s="45"/>
      <c r="E31" s="15"/>
      <c r="F31" s="15"/>
      <c r="G31" s="15"/>
      <c r="H31" s="46"/>
      <c r="I31" s="47"/>
      <c r="J31" s="6"/>
      <c r="K31" s="48"/>
      <c r="L31" s="49"/>
      <c r="M31" s="50"/>
      <c r="P31" s="21"/>
    </row>
    <row r="32" s="1" customFormat="1" ht="25" customHeight="1" spans="1:16">
      <c r="A32" s="22"/>
      <c r="B32" s="14">
        <v>4</v>
      </c>
      <c r="C32" s="44" t="s">
        <v>51</v>
      </c>
      <c r="D32" s="45"/>
      <c r="E32" s="46"/>
      <c r="F32" s="51"/>
      <c r="G32" s="47"/>
      <c r="H32" s="46"/>
      <c r="I32" s="47"/>
      <c r="J32" s="6"/>
      <c r="K32" s="48"/>
      <c r="L32" s="49"/>
      <c r="M32" s="50"/>
      <c r="P32" s="21"/>
    </row>
    <row r="33" s="1" customFormat="1" ht="25" customHeight="1" spans="1:16">
      <c r="A33" s="22"/>
      <c r="B33" s="52" t="s">
        <v>52</v>
      </c>
      <c r="C33" s="53"/>
      <c r="D33" s="53"/>
      <c r="E33" s="53"/>
      <c r="F33" s="53"/>
      <c r="G33" s="53"/>
      <c r="H33" s="53"/>
      <c r="I33" s="53"/>
      <c r="J33" s="53"/>
      <c r="K33" s="53"/>
      <c r="L33" s="54"/>
      <c r="M33" s="55">
        <f>SUM(M29:M32)</f>
        <v>0</v>
      </c>
      <c r="P33" s="21"/>
    </row>
    <row r="34" s="1" customFormat="1" ht="25" customHeight="1" spans="1:16">
      <c r="A34" s="10" t="s">
        <v>10</v>
      </c>
      <c r="B34" s="10" t="s">
        <v>11</v>
      </c>
      <c r="C34" s="10" t="s">
        <v>12</v>
      </c>
      <c r="D34" s="10" t="s">
        <v>13</v>
      </c>
      <c r="E34" s="37" t="s">
        <v>41</v>
      </c>
      <c r="F34" s="38"/>
      <c r="G34" s="25"/>
      <c r="H34" s="37" t="s">
        <v>15</v>
      </c>
      <c r="I34" s="25"/>
      <c r="J34" s="10" t="s">
        <v>16</v>
      </c>
      <c r="K34" s="37" t="s">
        <v>19</v>
      </c>
      <c r="L34" s="39"/>
      <c r="M34" s="10" t="s">
        <v>20</v>
      </c>
      <c r="P34" s="21"/>
    </row>
    <row r="35" s="1" customFormat="1" ht="25" customHeight="1" spans="1:16">
      <c r="A35" s="13" t="s">
        <v>53</v>
      </c>
      <c r="B35" s="14">
        <v>1</v>
      </c>
      <c r="C35" s="15" t="s">
        <v>54</v>
      </c>
      <c r="D35" s="56"/>
      <c r="E35" s="15"/>
      <c r="F35" s="15"/>
      <c r="G35" s="15"/>
      <c r="H35" s="46"/>
      <c r="I35" s="47"/>
      <c r="J35" s="15"/>
      <c r="K35" s="46"/>
      <c r="L35" s="57"/>
      <c r="M35" s="31"/>
      <c r="P35" s="21"/>
    </row>
    <row r="36" s="1" customFormat="1" ht="25" customHeight="1" spans="1:16">
      <c r="A36" s="22"/>
      <c r="B36" s="14">
        <v>2</v>
      </c>
      <c r="C36" s="15" t="s">
        <v>55</v>
      </c>
      <c r="D36" s="45"/>
      <c r="E36" s="15"/>
      <c r="F36" s="15"/>
      <c r="G36" s="15"/>
      <c r="H36" s="46"/>
      <c r="I36" s="47"/>
      <c r="J36" s="15"/>
      <c r="K36" s="46"/>
      <c r="L36" s="57"/>
      <c r="M36" s="31"/>
      <c r="P36" s="21"/>
    </row>
    <row r="37" s="1" customFormat="1" ht="25" customHeight="1" spans="1:16">
      <c r="A37" s="22"/>
      <c r="B37" s="23" t="s">
        <v>56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3">
        <f>SUM(M35:M36)</f>
        <v>0</v>
      </c>
      <c r="P37" s="21"/>
    </row>
    <row r="38" s="1" customFormat="1" ht="25" customHeight="1" spans="1:16">
      <c r="A38" s="10" t="s">
        <v>10</v>
      </c>
      <c r="B38" s="10" t="s">
        <v>11</v>
      </c>
      <c r="C38" s="10" t="s">
        <v>12</v>
      </c>
      <c r="D38" s="10" t="s">
        <v>13</v>
      </c>
      <c r="E38" s="37" t="s">
        <v>41</v>
      </c>
      <c r="F38" s="38"/>
      <c r="G38" s="25"/>
      <c r="H38" s="37" t="s">
        <v>15</v>
      </c>
      <c r="I38" s="25"/>
      <c r="J38" s="10" t="s">
        <v>16</v>
      </c>
      <c r="K38" s="38" t="s">
        <v>19</v>
      </c>
      <c r="L38" s="25"/>
      <c r="M38" s="10" t="s">
        <v>20</v>
      </c>
      <c r="P38" s="21"/>
    </row>
    <row r="39" s="1" customFormat="1" ht="25" customHeight="1" spans="1:16">
      <c r="A39" s="13" t="s">
        <v>57</v>
      </c>
      <c r="B39" s="14">
        <v>1</v>
      </c>
      <c r="C39" s="6" t="s">
        <v>58</v>
      </c>
      <c r="D39" s="42"/>
      <c r="E39" s="6"/>
      <c r="F39" s="6"/>
      <c r="G39" s="6"/>
      <c r="H39" s="42"/>
      <c r="I39" s="28"/>
      <c r="J39" s="6"/>
      <c r="K39" s="58"/>
      <c r="L39" s="59"/>
      <c r="M39" s="50"/>
      <c r="P39" s="21"/>
    </row>
    <row r="40" s="1" customFormat="1" ht="25" customHeight="1" spans="1:16">
      <c r="A40" s="22"/>
      <c r="B40" s="14">
        <v>2</v>
      </c>
      <c r="C40" s="6"/>
      <c r="D40" s="42"/>
      <c r="E40" s="6"/>
      <c r="F40" s="6"/>
      <c r="G40" s="6"/>
      <c r="H40" s="42"/>
      <c r="I40" s="28"/>
      <c r="J40" s="6"/>
      <c r="K40" s="58"/>
      <c r="L40" s="59"/>
      <c r="M40" s="50">
        <f>H40*K40</f>
        <v>0</v>
      </c>
      <c r="P40" s="21"/>
    </row>
    <row r="41" s="1" customFormat="1" ht="25" customHeight="1" spans="1:16">
      <c r="A41" s="22"/>
      <c r="B41" s="14">
        <v>3</v>
      </c>
      <c r="C41" s="6"/>
      <c r="D41" s="42"/>
      <c r="E41" s="6"/>
      <c r="F41" s="6"/>
      <c r="G41" s="6"/>
      <c r="H41" s="42"/>
      <c r="I41" s="28"/>
      <c r="J41" s="6"/>
      <c r="K41" s="58"/>
      <c r="L41" s="59"/>
      <c r="M41" s="50">
        <f>H41*K41</f>
        <v>0</v>
      </c>
      <c r="P41" s="21"/>
    </row>
    <row r="42" s="1" customFormat="1" ht="25" customHeight="1" spans="1:16">
      <c r="A42" s="22"/>
      <c r="B42" s="14">
        <v>4</v>
      </c>
      <c r="C42" s="6"/>
      <c r="D42" s="42"/>
      <c r="E42" s="6"/>
      <c r="F42" s="6"/>
      <c r="G42" s="6"/>
      <c r="H42" s="42"/>
      <c r="I42" s="28"/>
      <c r="J42" s="6"/>
      <c r="K42" s="58"/>
      <c r="L42" s="59"/>
      <c r="M42" s="50">
        <f>H42*K42</f>
        <v>0</v>
      </c>
      <c r="P42" s="21"/>
    </row>
    <row r="43" s="1" customFormat="1" ht="25" customHeight="1" spans="1:16">
      <c r="A43" s="22"/>
      <c r="B43" s="52" t="s">
        <v>52</v>
      </c>
      <c r="C43" s="53"/>
      <c r="D43" s="53"/>
      <c r="E43" s="53"/>
      <c r="F43" s="53"/>
      <c r="G43" s="53"/>
      <c r="H43" s="53"/>
      <c r="I43" s="53"/>
      <c r="J43" s="53"/>
      <c r="K43" s="53"/>
      <c r="L43" s="54"/>
      <c r="M43" s="55">
        <f>SUM(M39:M42)</f>
        <v>0</v>
      </c>
      <c r="P43" s="21"/>
    </row>
    <row r="44" s="1" customFormat="1" ht="25" customHeight="1" spans="1:16">
      <c r="A44" s="10" t="s">
        <v>10</v>
      </c>
      <c r="B44" s="10" t="s">
        <v>11</v>
      </c>
      <c r="C44" s="10" t="s">
        <v>12</v>
      </c>
      <c r="D44" s="10" t="s">
        <v>13</v>
      </c>
      <c r="E44" s="37" t="s">
        <v>41</v>
      </c>
      <c r="F44" s="38"/>
      <c r="G44" s="25"/>
      <c r="H44" s="37" t="s">
        <v>15</v>
      </c>
      <c r="I44" s="25"/>
      <c r="J44" s="10" t="s">
        <v>16</v>
      </c>
      <c r="K44" s="37" t="s">
        <v>19</v>
      </c>
      <c r="L44" s="39"/>
      <c r="M44" s="10" t="s">
        <v>20</v>
      </c>
    </row>
    <row r="45" s="1" customFormat="1" ht="25" customHeight="1" spans="1:16">
      <c r="A45" s="13" t="s">
        <v>59</v>
      </c>
      <c r="B45" s="14">
        <v>1</v>
      </c>
      <c r="C45" s="6" t="s">
        <v>60</v>
      </c>
      <c r="D45" s="27"/>
      <c r="E45" s="6"/>
      <c r="F45" s="6"/>
      <c r="G45" s="6"/>
      <c r="H45" s="42"/>
      <c r="I45" s="28"/>
      <c r="J45" s="6"/>
      <c r="K45" s="42"/>
      <c r="L45" s="43"/>
      <c r="M45" s="31"/>
    </row>
    <row r="46" s="1" customFormat="1" ht="25" customHeight="1" spans="1:16">
      <c r="A46" s="22"/>
      <c r="B46" s="14"/>
      <c r="C46" s="6"/>
      <c r="D46" s="27"/>
      <c r="E46" s="42"/>
      <c r="F46" s="60"/>
      <c r="G46" s="28"/>
      <c r="H46" s="42"/>
      <c r="I46" s="28"/>
      <c r="J46" s="6"/>
      <c r="K46" s="42"/>
      <c r="L46" s="60"/>
      <c r="M46" s="31"/>
    </row>
    <row r="47" s="1" customFormat="1" ht="25" customHeight="1" spans="1:16">
      <c r="A47" s="22"/>
      <c r="B47" s="23" t="s">
        <v>45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33">
        <f>SUM(M45)</f>
        <v>0</v>
      </c>
    </row>
    <row r="48" s="1" customFormat="1" ht="25" customHeight="1" spans="1:16">
      <c r="A48" s="61" t="s">
        <v>61</v>
      </c>
      <c r="B48" s="62"/>
      <c r="C48" s="63" t="s">
        <v>62</v>
      </c>
      <c r="D48" s="63"/>
      <c r="E48" s="64">
        <f>K48</f>
        <v>0</v>
      </c>
      <c r="F48" s="64"/>
      <c r="G48" s="64"/>
      <c r="H48" s="64"/>
      <c r="I48" s="65" t="s">
        <v>63</v>
      </c>
      <c r="J48" s="66"/>
      <c r="K48" s="67">
        <f>M13++M23+M33+M27+M37+M16+M47</f>
        <v>0</v>
      </c>
      <c r="L48" s="67"/>
      <c r="M48" s="67"/>
      <c r="N48" s="68"/>
    </row>
    <row r="49" s="1" customFormat="1" ht="25" customHeight="1" spans="1:14">
      <c r="A49" s="61" t="s">
        <v>64</v>
      </c>
      <c r="B49" s="62"/>
      <c r="C49" s="63"/>
      <c r="D49" s="64" t="s">
        <v>65</v>
      </c>
      <c r="E49" s="69"/>
      <c r="F49" s="69"/>
      <c r="G49" s="69"/>
      <c r="H49" s="66"/>
      <c r="I49" s="65" t="s">
        <v>63</v>
      </c>
      <c r="J49" s="66"/>
      <c r="K49" s="70">
        <f>K48*C49+6799</f>
        <v>6799</v>
      </c>
      <c r="L49" s="71"/>
      <c r="M49" s="72"/>
      <c r="N49" s="73"/>
    </row>
    <row r="50" s="1" customFormat="1" ht="25" customHeight="1" spans="1:14">
      <c r="A50" s="6" t="s">
        <v>66</v>
      </c>
      <c r="B50" s="6"/>
      <c r="C50" s="9"/>
      <c r="D50" s="9"/>
      <c r="E50" s="9"/>
      <c r="F50" s="9"/>
      <c r="G50" s="6" t="s">
        <v>67</v>
      </c>
      <c r="H50" s="6"/>
      <c r="I50" s="6"/>
      <c r="J50" s="9"/>
      <c r="K50" s="9"/>
      <c r="L50" s="9"/>
      <c r="M50" s="9"/>
    </row>
    <row r="51" s="1" customFormat="1" ht="25" customHeight="1" spans="1:14">
      <c r="A51" s="6" t="s">
        <v>68</v>
      </c>
      <c r="B51" s="6"/>
      <c r="C51" s="9"/>
      <c r="D51" s="9"/>
      <c r="E51" s="9"/>
      <c r="F51" s="9"/>
      <c r="G51" s="6" t="s">
        <v>68</v>
      </c>
      <c r="H51" s="6"/>
      <c r="I51" s="6"/>
      <c r="J51" s="9"/>
      <c r="K51" s="9"/>
      <c r="L51" s="9"/>
      <c r="M51" s="9"/>
    </row>
    <row r="52" s="1" customFormat="1" ht="115" customHeight="1" spans="1:14">
      <c r="A52" s="74" t="s">
        <v>69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</row>
    <row r="53" s="1" customFormat="1" ht="25" customHeight="1" spans="1:14">
      <c r="A53" s="74" t="s">
        <v>70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</row>
    <row r="54" s="1" customFormat="1" ht="25" customHeight="1" spans="1:14">
      <c r="A54" s="12" t="s">
        <v>71</v>
      </c>
      <c r="B54" s="12" t="s">
        <v>72</v>
      </c>
      <c r="C54" s="12"/>
      <c r="D54" s="12"/>
      <c r="E54" s="12"/>
      <c r="F54" s="12"/>
      <c r="G54" s="10" t="s">
        <v>73</v>
      </c>
      <c r="H54" s="10"/>
      <c r="I54" s="10"/>
      <c r="J54" s="10"/>
      <c r="K54" s="10"/>
      <c r="L54" s="10"/>
      <c r="M54" s="10"/>
    </row>
    <row r="55" s="1" customFormat="1" ht="25" customHeight="1" spans="1:14">
      <c r="A55" s="10" t="s">
        <v>74</v>
      </c>
      <c r="B55" s="10" t="s">
        <v>75</v>
      </c>
      <c r="C55" s="10"/>
      <c r="D55" s="10"/>
      <c r="E55" s="10"/>
      <c r="F55" s="10"/>
      <c r="G55" s="10" t="s">
        <v>76</v>
      </c>
      <c r="H55" s="10"/>
      <c r="I55" s="10"/>
      <c r="J55" s="10"/>
      <c r="K55" s="10"/>
      <c r="L55" s="10"/>
      <c r="M55" s="10"/>
    </row>
    <row r="56" s="2" customFormat="1" ht="18.95" customHeight="1" spans="1:14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</sheetData>
  <mergeCells count="116">
    <mergeCell ref="A1:I1"/>
    <mergeCell ref="J1:M1"/>
    <mergeCell ref="A2:B2"/>
    <mergeCell ref="C2:D2"/>
    <mergeCell ref="E2:F2"/>
    <mergeCell ref="H2:I2"/>
    <mergeCell ref="J2:M2"/>
    <mergeCell ref="B3:E3"/>
    <mergeCell ref="F3:G3"/>
    <mergeCell ref="H3:M3"/>
    <mergeCell ref="B4:E4"/>
    <mergeCell ref="F4:G4"/>
    <mergeCell ref="H4:M4"/>
    <mergeCell ref="B5:E5"/>
    <mergeCell ref="F5:G5"/>
    <mergeCell ref="H5:M5"/>
    <mergeCell ref="E6:G6"/>
    <mergeCell ref="B13:L13"/>
    <mergeCell ref="E14:G14"/>
    <mergeCell ref="B16:L16"/>
    <mergeCell ref="E17:G17"/>
    <mergeCell ref="B23:L23"/>
    <mergeCell ref="E24:G24"/>
    <mergeCell ref="H24:I24"/>
    <mergeCell ref="K24:L24"/>
    <mergeCell ref="E25:G25"/>
    <mergeCell ref="H25:I25"/>
    <mergeCell ref="K25:L25"/>
    <mergeCell ref="E26:G26"/>
    <mergeCell ref="H26:I26"/>
    <mergeCell ref="K26:L26"/>
    <mergeCell ref="B27:L27"/>
    <mergeCell ref="E28:G28"/>
    <mergeCell ref="H28:I28"/>
    <mergeCell ref="K28:L28"/>
    <mergeCell ref="E29:G29"/>
    <mergeCell ref="H29:I29"/>
    <mergeCell ref="K29:L29"/>
    <mergeCell ref="E30:G30"/>
    <mergeCell ref="H30:I30"/>
    <mergeCell ref="K30:L30"/>
    <mergeCell ref="E31:G31"/>
    <mergeCell ref="H31:I31"/>
    <mergeCell ref="K31:L31"/>
    <mergeCell ref="E32:G32"/>
    <mergeCell ref="H32:I32"/>
    <mergeCell ref="K32:L32"/>
    <mergeCell ref="B33:L33"/>
    <mergeCell ref="E34:G34"/>
    <mergeCell ref="H34:I34"/>
    <mergeCell ref="K34:L34"/>
    <mergeCell ref="E35:G35"/>
    <mergeCell ref="H35:I35"/>
    <mergeCell ref="K35:L35"/>
    <mergeCell ref="E36:G36"/>
    <mergeCell ref="H36:I36"/>
    <mergeCell ref="K36:L36"/>
    <mergeCell ref="B37:L37"/>
    <mergeCell ref="E38:G38"/>
    <mergeCell ref="H38:I38"/>
    <mergeCell ref="K38:L38"/>
    <mergeCell ref="E39:G39"/>
    <mergeCell ref="H39:I39"/>
    <mergeCell ref="K39:L39"/>
    <mergeCell ref="E40:G40"/>
    <mergeCell ref="H40:I40"/>
    <mergeCell ref="K40:L40"/>
    <mergeCell ref="E41:G41"/>
    <mergeCell ref="H41:I41"/>
    <mergeCell ref="K41:L41"/>
    <mergeCell ref="E42:G42"/>
    <mergeCell ref="H42:I42"/>
    <mergeCell ref="K42:L42"/>
    <mergeCell ref="B43:L43"/>
    <mergeCell ref="E44:G44"/>
    <mergeCell ref="H44:I44"/>
    <mergeCell ref="K44:L44"/>
    <mergeCell ref="E45:G45"/>
    <mergeCell ref="H45:I45"/>
    <mergeCell ref="K45:L45"/>
    <mergeCell ref="E46:G46"/>
    <mergeCell ref="H46:I46"/>
    <mergeCell ref="K46:L46"/>
    <mergeCell ref="B47:L47"/>
    <mergeCell ref="A48:B48"/>
    <mergeCell ref="C48:D48"/>
    <mergeCell ref="E48:H48"/>
    <mergeCell ref="I48:J48"/>
    <mergeCell ref="K48:M48"/>
    <mergeCell ref="A49:B49"/>
    <mergeCell ref="E49:H49"/>
    <mergeCell ref="I49:J49"/>
    <mergeCell ref="K49:M49"/>
    <mergeCell ref="A50:B50"/>
    <mergeCell ref="C50:F50"/>
    <mergeCell ref="G50:H50"/>
    <mergeCell ref="J50:M50"/>
    <mergeCell ref="A51:B51"/>
    <mergeCell ref="C51:F51"/>
    <mergeCell ref="G51:H51"/>
    <mergeCell ref="J51:M51"/>
    <mergeCell ref="A52:M52"/>
    <mergeCell ref="A53:M53"/>
    <mergeCell ref="B54:F54"/>
    <mergeCell ref="H54:M54"/>
    <mergeCell ref="B55:F55"/>
    <mergeCell ref="H55:M55"/>
    <mergeCell ref="A56:M56"/>
    <mergeCell ref="A7:A13"/>
    <mergeCell ref="A15:A16"/>
    <mergeCell ref="A18:A23"/>
    <mergeCell ref="A25:A27"/>
    <mergeCell ref="A29:A33"/>
    <mergeCell ref="A35:A37"/>
    <mergeCell ref="A39:A43"/>
    <mergeCell ref="A45:A47"/>
  </mergeCells>
  <dataValidations count="2">
    <dataValidation type="list" allowBlank="1" showInputMessage="1" showErrorMessage="1" sqref="C18:C22">
      <formula1>"地柜见光板,吊柜见光板,高柜见光板,半高柜见光板,岛台见光板,台上柜见光板"</formula1>
    </dataValidation>
    <dataValidation type="list" allowBlank="1" showInputMessage="1" showErrorMessage="1" sqref="C8:D9 C11:D12" errorStyle="information">
      <formula1>#REF!</formula1>
    </dataValidation>
  </dataValidations>
  <printOptions horizontalCentered="1" verticalCentered="1"/>
  <pageMargins left="0.118055555555556" right="0.118055555555556" top="0.118055555555556" bottom="0.118055555555556" header="0.5" footer="0.5"/>
  <pageSetup paperSize="9" scale="54" orientation="portrait" horizontalDpi="600"/>
  <headerFooter/>
  <rowBreaks count="1" manualBreakCount="1">
    <brk id="55" max="12" man="1"/>
  </rowBreaks>
  <colBreaks count="1" manualBreakCount="1">
    <brk id="13" max="1048575" man="1"/>
  </colBreaks>
  <ignoredErrors>
    <ignoredError sqref="C8:C9 C11:C12" listDataValidatio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橱柜延米报价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周献良</cp:lastModifiedBy>
  <dcterms:created xsi:type="dcterms:W3CDTF">2024-09-05T11:04:00Z</dcterms:created>
  <dcterms:modified xsi:type="dcterms:W3CDTF">2026-06-13T22:36:27Z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DDEDED8548704B3B8E4AA6D7E4026EDB_13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